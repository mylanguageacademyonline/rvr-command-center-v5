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nbpa\Downloads\"/>
    </mc:Choice>
  </mc:AlternateContent>
  <xr:revisionPtr revIDLastSave="0" documentId="13_ncr:1_{E53ABE70-2546-4D0F-863C-77350FDC215A}" xr6:coauthVersionLast="47" xr6:coauthVersionMax="47" xr10:uidLastSave="{00000000-0000-0000-0000-000000000000}"/>
  <bookViews>
    <workbookView xWindow="-103" yWindow="-103" windowWidth="16663" windowHeight="8743" tabRatio="500" firstSheet="22" activeTab="23" xr2:uid="{00000000-000D-0000-FFFF-FFFF00000000}"/>
  </bookViews>
  <sheets>
    <sheet name="ALL VENDOR SUMMARY" sheetId="1" r:id="rId1"/>
    <sheet name="Daily Log" sheetId="2" r:id="rId2"/>
    <sheet name="March Summary" sheetId="3" r:id="rId3"/>
    <sheet name="April Summary" sheetId="4" r:id="rId4"/>
    <sheet name="Aakash Ice Cream" sheetId="5" r:id="rId5"/>
    <sheet name="Annapurneshwari Sweets" sheetId="6" r:id="rId6"/>
    <sheet name="Baleyale (Kumara)" sheetId="7" r:id="rId7"/>
    <sheet name="BSV Sweets" sheetId="8" r:id="rId8"/>
    <sheet name="Girish Gas" sheetId="9" r:id="rId9"/>
    <sheet name="Govardhan Milk &amp; Curd" sheetId="10" r:id="rId10"/>
    <sheet name="Hebbar Sweets" sheetId="11" r:id="rId11"/>
    <sheet name="Kisan – Vegetables" sheetId="12" r:id="rId12"/>
    <sheet name="Netra Chapati" sheetId="13" r:id="rId13"/>
    <sheet name="Petrol and CNG" sheetId="14" r:id="rId14"/>
    <sheet name="Plastic Items" sheetId="15" r:id="rId15"/>
    <sheet name="Raghavendra Sweets" sheetId="16" r:id="rId16"/>
    <sheet name="Ramesh Areca Plate" sheetId="17" r:id="rId17"/>
    <sheet name="Ramesh Beeda" sheetId="18" r:id="rId18"/>
    <sheet name="Saffola Oil" sheetId="19" r:id="rId19"/>
    <sheet name="Sunpure Oil" sheetId="20" r:id="rId20"/>
    <sheet name="Transport" sheetId="21" r:id="rId21"/>
    <sheet name="Vinayaka Provision Store" sheetId="22" r:id="rId22"/>
    <sheet name="Water Anytime" sheetId="23" r:id="rId23"/>
    <sheet name="Gayathri Grocery" sheetId="24" r:id="rId2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9" i="10" l="1"/>
  <c r="E25" i="5"/>
  <c r="D3" i="5" s="1"/>
  <c r="D8" i="1" s="1"/>
  <c r="D13" i="5"/>
  <c r="F56" i="24"/>
  <c r="E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F3" i="24"/>
  <c r="D3" i="24"/>
  <c r="C4" i="24" s="1"/>
  <c r="B3" i="24"/>
  <c r="F57" i="23"/>
  <c r="E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F3" i="23"/>
  <c r="D3" i="23"/>
  <c r="C4" i="23" s="1"/>
  <c r="B3" i="23"/>
  <c r="F56" i="22"/>
  <c r="E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F3" i="22"/>
  <c r="D3" i="22"/>
  <c r="C4" i="22" s="1"/>
  <c r="B3" i="22"/>
  <c r="F56" i="21"/>
  <c r="E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F3" i="21"/>
  <c r="D3" i="21"/>
  <c r="C4" i="21" s="1"/>
  <c r="C3" i="21"/>
  <c r="B3" i="21"/>
  <c r="F57" i="20"/>
  <c r="E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F3" i="20"/>
  <c r="D3" i="20"/>
  <c r="C4" i="20" s="1"/>
  <c r="B3" i="20"/>
  <c r="F57" i="19"/>
  <c r="E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F3" i="19"/>
  <c r="D3" i="19"/>
  <c r="C4" i="19" s="1"/>
  <c r="B3" i="19"/>
  <c r="F57" i="18"/>
  <c r="F3" i="18" s="1"/>
  <c r="E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D3" i="18"/>
  <c r="B3" i="18"/>
  <c r="F57" i="17"/>
  <c r="E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F3" i="17"/>
  <c r="F17" i="4" s="1"/>
  <c r="D3" i="17"/>
  <c r="B3" i="17"/>
  <c r="F56" i="16"/>
  <c r="E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F3" i="16"/>
  <c r="F16" i="4" s="1"/>
  <c r="D3" i="16"/>
  <c r="C3" i="16"/>
  <c r="B3" i="16"/>
  <c r="F57" i="15"/>
  <c r="E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F3" i="15"/>
  <c r="D3" i="15"/>
  <c r="C4" i="15" s="1"/>
  <c r="B3" i="15"/>
  <c r="F56" i="14"/>
  <c r="E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F3" i="14"/>
  <c r="D3" i="14"/>
  <c r="C4" i="14" s="1"/>
  <c r="B3" i="14"/>
  <c r="F57" i="13"/>
  <c r="E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F3" i="13"/>
  <c r="D3" i="13"/>
  <c r="C4" i="13" s="1"/>
  <c r="B3" i="13"/>
  <c r="F57" i="12"/>
  <c r="E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F3" i="12"/>
  <c r="D3" i="12"/>
  <c r="C4" i="12" s="1"/>
  <c r="B3" i="12"/>
  <c r="F57" i="11"/>
  <c r="E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F3" i="11"/>
  <c r="D3" i="11"/>
  <c r="C4" i="11" s="1"/>
  <c r="B3" i="11"/>
  <c r="F59" i="10"/>
  <c r="F3" i="10" s="1"/>
  <c r="B3" i="10"/>
  <c r="G13" i="1" s="1"/>
  <c r="F57" i="9"/>
  <c r="E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F3" i="9"/>
  <c r="D3" i="9"/>
  <c r="C4" i="9" s="1"/>
  <c r="B3" i="9"/>
  <c r="F57" i="8"/>
  <c r="E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F3" i="8"/>
  <c r="D3" i="8"/>
  <c r="C4" i="8" s="1"/>
  <c r="B3" i="8"/>
  <c r="F57" i="7"/>
  <c r="E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F3" i="7"/>
  <c r="D3" i="7"/>
  <c r="B3" i="7"/>
  <c r="F60" i="6"/>
  <c r="E60" i="6"/>
  <c r="D3" i="6" s="1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F3" i="6"/>
  <c r="F6" i="4" s="1"/>
  <c r="B3" i="6"/>
  <c r="G9" i="1" s="1"/>
  <c r="F25" i="5"/>
  <c r="F3" i="5" s="1"/>
  <c r="A24" i="5"/>
  <c r="B3" i="5"/>
  <c r="G8" i="1" s="1"/>
  <c r="D25" i="4"/>
  <c r="F24" i="4"/>
  <c r="E24" i="4"/>
  <c r="G24" i="4" s="1"/>
  <c r="F23" i="4"/>
  <c r="E23" i="4"/>
  <c r="G23" i="4" s="1"/>
  <c r="F22" i="4"/>
  <c r="E22" i="4"/>
  <c r="G22" i="4" s="1"/>
  <c r="F21" i="4"/>
  <c r="E21" i="4"/>
  <c r="G21" i="4" s="1"/>
  <c r="F20" i="4"/>
  <c r="E20" i="4"/>
  <c r="G20" i="4" s="1"/>
  <c r="F19" i="4"/>
  <c r="E19" i="4"/>
  <c r="G19" i="4" s="1"/>
  <c r="E18" i="4"/>
  <c r="F15" i="4"/>
  <c r="E15" i="4"/>
  <c r="G15" i="4" s="1"/>
  <c r="F14" i="4"/>
  <c r="E14" i="4"/>
  <c r="G14" i="4" s="1"/>
  <c r="F13" i="4"/>
  <c r="E13" i="4"/>
  <c r="G13" i="4" s="1"/>
  <c r="F12" i="4"/>
  <c r="E12" i="4"/>
  <c r="G12" i="4" s="1"/>
  <c r="F11" i="4"/>
  <c r="E11" i="4"/>
  <c r="G11" i="4" s="1"/>
  <c r="F9" i="4"/>
  <c r="E9" i="4"/>
  <c r="G9" i="4" s="1"/>
  <c r="F8" i="4"/>
  <c r="E8" i="4"/>
  <c r="G8" i="4" s="1"/>
  <c r="F7" i="4"/>
  <c r="E17" i="3"/>
  <c r="D17" i="3"/>
  <c r="F17" i="3" s="1"/>
  <c r="F56" i="2"/>
  <c r="E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G27" i="1"/>
  <c r="F27" i="1"/>
  <c r="H27" i="1" s="1"/>
  <c r="E27" i="1"/>
  <c r="D27" i="1"/>
  <c r="G26" i="1"/>
  <c r="F26" i="1"/>
  <c r="H26" i="1" s="1"/>
  <c r="E26" i="1"/>
  <c r="D26" i="1"/>
  <c r="G25" i="1"/>
  <c r="F25" i="1"/>
  <c r="H25" i="1" s="1"/>
  <c r="E25" i="1"/>
  <c r="D25" i="1"/>
  <c r="G24" i="1"/>
  <c r="F24" i="1"/>
  <c r="H24" i="1" s="1"/>
  <c r="E24" i="1"/>
  <c r="D24" i="1"/>
  <c r="G23" i="1"/>
  <c r="F23" i="1"/>
  <c r="H23" i="1" s="1"/>
  <c r="E23" i="1"/>
  <c r="D23" i="1"/>
  <c r="G22" i="1"/>
  <c r="F22" i="1"/>
  <c r="H22" i="1" s="1"/>
  <c r="E22" i="1"/>
  <c r="D22" i="1"/>
  <c r="G21" i="1"/>
  <c r="F21" i="1"/>
  <c r="H21" i="1" s="1"/>
  <c r="D21" i="1"/>
  <c r="G20" i="1"/>
  <c r="F20" i="1"/>
  <c r="H20" i="1" s="1"/>
  <c r="E20" i="1"/>
  <c r="D20" i="1"/>
  <c r="G19" i="1"/>
  <c r="F19" i="1"/>
  <c r="H19" i="1" s="1"/>
  <c r="E19" i="1"/>
  <c r="D19" i="1"/>
  <c r="G18" i="1"/>
  <c r="F18" i="1"/>
  <c r="H18" i="1" s="1"/>
  <c r="E18" i="1"/>
  <c r="D18" i="1"/>
  <c r="G17" i="1"/>
  <c r="F17" i="1"/>
  <c r="H17" i="1" s="1"/>
  <c r="E17" i="1"/>
  <c r="D17" i="1"/>
  <c r="G16" i="1"/>
  <c r="F16" i="1"/>
  <c r="H16" i="1" s="1"/>
  <c r="E16" i="1"/>
  <c r="D16" i="1"/>
  <c r="G15" i="1"/>
  <c r="F15" i="1"/>
  <c r="H15" i="1" s="1"/>
  <c r="E15" i="1"/>
  <c r="D15" i="1"/>
  <c r="G14" i="1"/>
  <c r="F14" i="1"/>
  <c r="H14" i="1" s="1"/>
  <c r="E14" i="1"/>
  <c r="D14" i="1"/>
  <c r="F13" i="1"/>
  <c r="H13" i="1" s="1"/>
  <c r="G12" i="1"/>
  <c r="F12" i="1"/>
  <c r="H12" i="1" s="1"/>
  <c r="E12" i="1"/>
  <c r="D12" i="1"/>
  <c r="G11" i="1"/>
  <c r="F11" i="1"/>
  <c r="H11" i="1" s="1"/>
  <c r="E11" i="1"/>
  <c r="D11" i="1"/>
  <c r="G10" i="1"/>
  <c r="F10" i="1"/>
  <c r="H10" i="1" s="1"/>
  <c r="E10" i="1"/>
  <c r="D10" i="1"/>
  <c r="F9" i="1"/>
  <c r="H9" i="1" s="1"/>
  <c r="E9" i="1"/>
  <c r="F8" i="1"/>
  <c r="H8" i="1" s="1"/>
  <c r="D3" i="10" l="1"/>
  <c r="F10" i="4"/>
  <c r="E13" i="1"/>
  <c r="E8" i="1"/>
  <c r="F5" i="4"/>
  <c r="E21" i="1"/>
  <c r="F18" i="4"/>
  <c r="C4" i="17"/>
  <c r="E17" i="4"/>
  <c r="G17" i="4" s="1"/>
  <c r="C4" i="16"/>
  <c r="E16" i="4"/>
  <c r="G16" i="4" s="1"/>
  <c r="C4" i="7"/>
  <c r="E7" i="4"/>
  <c r="G7" i="4" s="1"/>
  <c r="D9" i="1"/>
  <c r="E6" i="4"/>
  <c r="G6" i="4" s="1"/>
  <c r="C4" i="6"/>
  <c r="C4" i="5"/>
  <c r="E5" i="4"/>
  <c r="C4" i="18"/>
  <c r="D13" i="1" l="1"/>
  <c r="C4" i="10"/>
  <c r="E10" i="4"/>
  <c r="G10" i="4" s="1"/>
  <c r="E28" i="1"/>
  <c r="E4" i="1"/>
  <c r="G4" i="1" s="1"/>
  <c r="G18" i="4"/>
  <c r="F25" i="4"/>
  <c r="D28" i="1"/>
  <c r="C4" i="1"/>
  <c r="G5" i="4"/>
  <c r="E25" i="4"/>
  <c r="F28" i="1" l="1"/>
  <c r="G25" i="4"/>
</calcChain>
</file>

<file path=xl/sharedStrings.xml><?xml version="1.0" encoding="utf-8"?>
<sst xmlns="http://schemas.openxmlformats.org/spreadsheetml/2006/main" count="548" uniqueCount="128">
  <si>
    <t>RVR FOOD &amp; BEVERAGES PVT LTD</t>
  </si>
  <si>
    <t>ALL VENDOR SUMMARY  |  CATERING EXPENSE TRACKER — APRIL 2026</t>
  </si>
  <si>
    <t>TOTAL VENDORS</t>
  </si>
  <si>
    <t>NEED TO PAY (₹)</t>
  </si>
  <si>
    <t>ALREADY PAID (₹)</t>
  </si>
  <si>
    <t>NET BALANCE (₹)</t>
  </si>
  <si>
    <t>#</t>
  </si>
  <si>
    <t>Vendor Name</t>
  </si>
  <si>
    <t>Category</t>
  </si>
  <si>
    <t>Need to Pay (₹)</t>
  </si>
  <si>
    <t>Already Paid (₹)</t>
  </si>
  <si>
    <t>Balance (₹)</t>
  </si>
  <si>
    <t>Entries</t>
  </si>
  <si>
    <t>Status</t>
  </si>
  <si>
    <t>Aakash Ice Cream</t>
  </si>
  <si>
    <t>—</t>
  </si>
  <si>
    <t>Annapurneshwari Sweets</t>
  </si>
  <si>
    <t>Baleyale (Kumara)</t>
  </si>
  <si>
    <t>BSV Sweets</t>
  </si>
  <si>
    <t>Girish Gas</t>
  </si>
  <si>
    <t>Govardhan Milk &amp; Curd</t>
  </si>
  <si>
    <t>Hebbar Sweets</t>
  </si>
  <si>
    <t>Kisan – Vegetables</t>
  </si>
  <si>
    <t>Netra Chapati</t>
  </si>
  <si>
    <t>Petrol and CNG</t>
  </si>
  <si>
    <t>Plastic Items</t>
  </si>
  <si>
    <t>Raghavendra Sweets</t>
  </si>
  <si>
    <t>Ramesh Areca Plate</t>
  </si>
  <si>
    <t>Ramesh Beeda</t>
  </si>
  <si>
    <t>Saffola Oil</t>
  </si>
  <si>
    <t>Sunpure Oil</t>
  </si>
  <si>
    <t>Transport</t>
  </si>
  <si>
    <t>Vinayaka Provision Store</t>
  </si>
  <si>
    <t>Water Anytime</t>
  </si>
  <si>
    <t>Gayathri Grocery</t>
  </si>
  <si>
    <t>GRAND TOTAL</t>
  </si>
  <si>
    <t>RVR FOOD &amp; BEVERAGES PVT LTD  |  DAILY TRANSACTIONS LOG</t>
  </si>
  <si>
    <t>APRIL 2026  —  Source: Handwritten Notebooks</t>
  </si>
  <si>
    <t>Date</t>
  </si>
  <si>
    <t>Vendor / Purpose</t>
  </si>
  <si>
    <t>Bill Reference</t>
  </si>
  <si>
    <t>Credit (₹)
(Need to Pay)</t>
  </si>
  <si>
    <t>Debit (₹)
(Already Paid)</t>
  </si>
  <si>
    <t>Linked Vendor Sheet</t>
  </si>
  <si>
    <t>Source</t>
  </si>
  <si>
    <t>TOTAL</t>
  </si>
  <si>
    <t>MARCH 2026 — VENDOR EXPENSE SUMMARY (Reference Only)</t>
  </si>
  <si>
    <t>March Need to Pay (₹)</t>
  </si>
  <si>
    <t>March Already Paid (₹)</t>
  </si>
  <si>
    <t>March Balance (₹)</t>
  </si>
  <si>
    <t>Notes</t>
  </si>
  <si>
    <t>Utilities</t>
  </si>
  <si>
    <t>Food Items</t>
  </si>
  <si>
    <t>Sweets</t>
  </si>
  <si>
    <t>Kitchen</t>
  </si>
  <si>
    <t>Consumables</t>
  </si>
  <si>
    <t>Client</t>
  </si>
  <si>
    <t>Vendor Pay</t>
  </si>
  <si>
    <t>MARCH TOTAL</t>
  </si>
  <si>
    <t>APRIL 2026 — VENDOR EXPENSE SUMMARY (with March Carry Forward)</t>
  </si>
  <si>
    <t>March Carry Fwd (₹)</t>
  </si>
  <si>
    <t>April Need to Pay (₹)</t>
  </si>
  <si>
    <t>April Already Paid (₹)</t>
  </si>
  <si>
    <t>Net Balance (₹)</t>
  </si>
  <si>
    <t>-</t>
  </si>
  <si>
    <t>Dairy</t>
  </si>
  <si>
    <t>Catering Expense</t>
  </si>
  <si>
    <t>Grocery</t>
  </si>
  <si>
    <t>APRIL TOTAL</t>
  </si>
  <si>
    <t>RVR FOOD &amp; BEVERAGES PVT LTD  |  AAKASH ICE CREAM</t>
  </si>
  <si>
    <t>Category: Food Items</t>
  </si>
  <si>
    <t>Balance:</t>
  </si>
  <si>
    <t>Need to Pay − Paid</t>
  </si>
  <si>
    <t>👉 Enter data below from Row 6 onwards</t>
  </si>
  <si>
    <t>Bill / Reference</t>
  </si>
  <si>
    <t>Qty</t>
  </si>
  <si>
    <t>RVR FOOD &amp; BEVERAGES PVT LTD  |  ANNAPURNESHWARI SWEETS</t>
  </si>
  <si>
    <t>Category: Sweets</t>
  </si>
  <si>
    <t>RVR FOOD &amp; BEVERAGES PVT LTD  |  BALEYALE (KUMARA)</t>
  </si>
  <si>
    <t>Category: Client</t>
  </si>
  <si>
    <t>→</t>
  </si>
  <si>
    <t>MARCH CARRY FORWARD</t>
  </si>
  <si>
    <t>Opening balance carried from March 2026</t>
  </si>
  <si>
    <t>RVR FOOD &amp; BEVERAGES PVT LTD  |  BSV SWEETS</t>
  </si>
  <si>
    <t>RVR FOOD &amp; BEVERAGES PVT LTD  |  GIRISH GAS</t>
  </si>
  <si>
    <t>Category: Utilities</t>
  </si>
  <si>
    <t>RVR FOOD &amp; BEVERAGES PVT LTD  |  GOVARDHAN MILK &amp; CURD</t>
  </si>
  <si>
    <t>Category: Dairy</t>
  </si>
  <si>
    <t>RVR FOOD &amp; BEVERAGES PVT LTD  |  HEBBAR SWEETS</t>
  </si>
  <si>
    <t>RVR FOOD &amp; BEVERAGES PVT LTD  |  KISAN – VEGETABLES</t>
  </si>
  <si>
    <t>Category: Kitchen</t>
  </si>
  <si>
    <t>RVR FOOD &amp; BEVERAGES PVT LTD  |  NETRA CHAPATI</t>
  </si>
  <si>
    <t>RVR FOOD &amp; BEVERAGES PVT LTD  |  PETROL AND CNG</t>
  </si>
  <si>
    <t>Category: Catering Expense</t>
  </si>
  <si>
    <t>RVR FOOD &amp; BEVERAGES PVT LTD  |  PLASTIC ITEMS</t>
  </si>
  <si>
    <t>Category: Consumables</t>
  </si>
  <si>
    <t>RVR FOOD &amp; BEVERAGES PVT LTD  |  RAGHAVENDRA SWEETS</t>
  </si>
  <si>
    <t>RVR FOOD &amp; BEVERAGES PVT LTD  |  RAMESH ARECA PLATE</t>
  </si>
  <si>
    <t>RVR FOOD &amp; BEVERAGES PVT LTD  |  RAMESH BEEDA</t>
  </si>
  <si>
    <t>RVR FOOD &amp; BEVERAGES PVT LTD  |  SAFFOLA OIL</t>
  </si>
  <si>
    <t>RVR FOOD &amp; BEVERAGES PVT LTD  |  SUNPURE OIL</t>
  </si>
  <si>
    <t>RVR FOOD &amp; BEVERAGES PVT LTD  |  TRANSPORT</t>
  </si>
  <si>
    <t>RVR FOOD &amp; BEVERAGES PVT LTD  |  VINAYAKA PROVISION STORE</t>
  </si>
  <si>
    <t>Category: Vendor Pay</t>
  </si>
  <si>
    <t>RVR FOOD &amp; BEVERAGES PVT LTD  |  WATER ANYTIME</t>
  </si>
  <si>
    <t>RVR FOOD &amp; BEVERAGES PVT LTD  |  GAYATHRI GROCERY</t>
  </si>
  <si>
    <t>Category: Grocery</t>
  </si>
  <si>
    <t>Sl No</t>
  </si>
  <si>
    <t xml:space="preserve">L/c vanilla </t>
  </si>
  <si>
    <t>KITCHN</t>
  </si>
  <si>
    <t>Bulk vanilla</t>
  </si>
  <si>
    <t>L/c vanilla ,L/ b scotch ,Bulk vanilla</t>
  </si>
  <si>
    <t>Spl, bulk, Malai Kulfi</t>
  </si>
  <si>
    <t>L/ b scotch</t>
  </si>
  <si>
    <t xml:space="preserve">Malai Kulfi </t>
  </si>
  <si>
    <t>L/c pista,L/c b scotch,L/c vanilla,Malai Kulfi</t>
  </si>
  <si>
    <t>L/v vanilla,L/c strawberry</t>
  </si>
  <si>
    <t xml:space="preserve">Bulk guava,Malai Kulfi </t>
  </si>
  <si>
    <t>CASH PAID</t>
  </si>
  <si>
    <t>Inv No 26</t>
  </si>
  <si>
    <t>Inv No 33</t>
  </si>
  <si>
    <t>Inv No 34</t>
  </si>
  <si>
    <t>Inv No 36</t>
  </si>
  <si>
    <t xml:space="preserve"> Inv No 38</t>
  </si>
  <si>
    <t>Inv No 42</t>
  </si>
  <si>
    <t>Inv No 47</t>
  </si>
  <si>
    <t>Inv No 48</t>
  </si>
  <si>
    <t>Inv No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</si>
</sst>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\₹#,##0"/>
    <numFmt numFmtId="165" formatCode="dd\-mmm\-yyyy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b/>
      <sz val="13"/>
      <color rgb="FF000000"/>
      <name val="Arial"/>
      <charset val="1"/>
    </font>
    <font>
      <b/>
      <sz val="12"/>
      <color rgb="FFC00000"/>
      <name val="Arial"/>
      <charset val="1"/>
    </font>
    <font>
      <b/>
      <sz val="12"/>
      <color rgb="FF375623"/>
      <name val="Arial"/>
      <charset val="1"/>
    </font>
    <font>
      <b/>
      <sz val="12"/>
      <color rgb="FF000000"/>
      <name val="Arial"/>
      <charset val="1"/>
    </font>
    <font>
      <sz val="11"/>
      <color rgb="FF000000"/>
      <name val="Arial"/>
      <charset val="1"/>
    </font>
    <font>
      <sz val="11"/>
      <color rgb="FFC00000"/>
      <name val="Arial"/>
      <charset val="1"/>
    </font>
    <font>
      <sz val="11"/>
      <color rgb="FF375623"/>
      <name val="Arial"/>
      <charset val="1"/>
    </font>
    <font>
      <b/>
      <sz val="14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3"/>
      <color rgb="FFFFFFFF"/>
      <name val="Arial"/>
      <charset val="1"/>
    </font>
    <font>
      <sz val="11"/>
      <color rgb="FF595959"/>
      <name val="Arial"/>
      <charset val="1"/>
    </font>
    <font>
      <b/>
      <sz val="13"/>
      <color rgb="FFC00000"/>
      <name val="Arial"/>
      <charset val="1"/>
    </font>
    <font>
      <b/>
      <sz val="11"/>
      <color rgb="FFC00000"/>
      <name val="Arial"/>
      <charset val="1"/>
    </font>
    <font>
      <b/>
      <sz val="11"/>
      <color rgb="FF375623"/>
      <name val="Arial"/>
      <charset val="1"/>
    </font>
    <font>
      <b/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DEEAF1"/>
      </patternFill>
    </fill>
    <fill>
      <patternFill patternType="solid">
        <fgColor rgb="FFF2F2F2"/>
        <bgColor rgb="FFEBF3FB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595959"/>
      </patternFill>
    </fill>
    <fill>
      <patternFill patternType="solid">
        <fgColor rgb="FFFFC000"/>
        <bgColor rgb="FFF4B94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1F4E79"/>
        <bgColor rgb="FF1F3864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4B942"/>
        <bgColor rgb="FFFFC000"/>
      </patternFill>
    </fill>
    <fill>
      <patternFill patternType="solid">
        <fgColor rgb="FF92D050"/>
        <bgColor rgb="FFEBF3FB"/>
      </patternFill>
    </fill>
    <fill>
      <patternFill patternType="solid">
        <fgColor rgb="FF92D050"/>
        <b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center" vertical="center"/>
    </xf>
    <xf numFmtId="0" fontId="0" fillId="5" borderId="0" xfId="0" applyFill="1"/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9" borderId="0" xfId="0" applyFill="1"/>
    <xf numFmtId="0" fontId="7" fillId="0" borderId="0" xfId="0" applyFont="1" applyAlignment="1">
      <alignment horizontal="center" vertical="center"/>
    </xf>
    <xf numFmtId="0" fontId="0" fillId="10" borderId="0" xfId="0" applyFill="1"/>
    <xf numFmtId="0" fontId="8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164" fontId="10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164" fontId="10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/>
    <xf numFmtId="0" fontId="0" fillId="11" borderId="1" xfId="0" applyFill="1" applyBorder="1"/>
    <xf numFmtId="14" fontId="0" fillId="12" borderId="1" xfId="0" applyNumberFormat="1" applyFill="1" applyBorder="1"/>
    <xf numFmtId="0" fontId="0" fillId="12" borderId="1" xfId="0" applyFill="1" applyBorder="1"/>
    <xf numFmtId="0" fontId="12" fillId="0" borderId="0" xfId="0" applyFont="1"/>
    <xf numFmtId="0" fontId="2" fillId="12" borderId="0" xfId="0" applyFont="1" applyFill="1"/>
    <xf numFmtId="0" fontId="13" fillId="13" borderId="0" xfId="0" applyFont="1" applyFill="1" applyAlignment="1">
      <alignment horizontal="center"/>
    </xf>
    <xf numFmtId="0" fontId="0" fillId="14" borderId="0" xfId="0" applyFill="1"/>
    <xf numFmtId="0" fontId="14" fillId="15" borderId="0" xfId="0" applyFont="1" applyFill="1"/>
    <xf numFmtId="0" fontId="8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/>
    </xf>
    <xf numFmtId="164" fontId="17" fillId="9" borderId="2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center" vertical="center"/>
    </xf>
    <xf numFmtId="14" fontId="9" fillId="11" borderId="1" xfId="0" applyNumberFormat="1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164" fontId="2" fillId="6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/>
    </xf>
    <xf numFmtId="165" fontId="3" fillId="16" borderId="1" xfId="0" applyNumberFormat="1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164" fontId="18" fillId="16" borderId="1" xfId="0" applyNumberFormat="1" applyFont="1" applyFill="1" applyBorder="1" applyAlignment="1">
      <alignment horizontal="center" vertical="center"/>
    </xf>
    <xf numFmtId="164" fontId="9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/>
    </xf>
    <xf numFmtId="165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11" borderId="0" xfId="0" applyFont="1" applyFill="1" applyAlignment="1">
      <alignment horizontal="center" vertical="center" wrapText="1"/>
    </xf>
    <xf numFmtId="165" fontId="9" fillId="11" borderId="0" xfId="0" applyNumberFormat="1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164" fontId="9" fillId="11" borderId="0" xfId="0" applyNumberFormat="1" applyFont="1" applyFill="1" applyAlignment="1">
      <alignment horizontal="center" vertical="center" wrapText="1"/>
    </xf>
    <xf numFmtId="0" fontId="9" fillId="11" borderId="0" xfId="0" applyFont="1" applyFill="1"/>
    <xf numFmtId="164" fontId="9" fillId="11" borderId="0" xfId="0" applyNumberFormat="1" applyFont="1" applyFill="1" applyAlignment="1">
      <alignment horizontal="right" vertical="center"/>
    </xf>
    <xf numFmtId="164" fontId="19" fillId="16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6" fontId="20" fillId="0" borderId="0" xfId="0" applyNumberFormat="1" applyFont="1" applyAlignment="1">
      <alignment horizontal="center"/>
    </xf>
    <xf numFmtId="164" fontId="0" fillId="0" borderId="0" xfId="0" applyNumberFormat="1"/>
    <xf numFmtId="0" fontId="9" fillId="17" borderId="1" xfId="0" applyFont="1" applyFill="1" applyBorder="1" applyAlignment="1">
      <alignment horizontal="center" vertical="center"/>
    </xf>
    <xf numFmtId="14" fontId="9" fillId="17" borderId="1" xfId="0" applyNumberFormat="1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center"/>
    </xf>
    <xf numFmtId="164" fontId="9" fillId="17" borderId="1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left" vertical="center"/>
    </xf>
    <xf numFmtId="164" fontId="23" fillId="11" borderId="1" xfId="0" applyNumberFormat="1" applyFont="1" applyFill="1" applyBorder="1" applyAlignment="1">
      <alignment horizontal="center" vertical="center"/>
    </xf>
    <xf numFmtId="164" fontId="23" fillId="5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4" fontId="6" fillId="9" borderId="4" xfId="0" applyNumberFormat="1" applyFont="1" applyFill="1" applyBorder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4B942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zoomScale="81" zoomScaleNormal="81" workbookViewId="0">
      <pane ySplit="6" topLeftCell="A19" activePane="bottomLeft" state="frozen"/>
      <selection pane="bottomLeft" activeCell="D13" sqref="D13"/>
    </sheetView>
  </sheetViews>
  <sheetFormatPr defaultColWidth="8.69140625" defaultRowHeight="14.6" x14ac:dyDescent="0.4"/>
  <cols>
    <col min="1" max="1" width="5" customWidth="1"/>
    <col min="2" max="2" width="30" customWidth="1"/>
    <col min="3" max="3" width="22" customWidth="1"/>
    <col min="4" max="5" width="20" customWidth="1"/>
    <col min="6" max="6" width="24.61328125" customWidth="1"/>
    <col min="7" max="7" width="10" customWidth="1"/>
    <col min="8" max="8" width="16" customWidth="1"/>
  </cols>
  <sheetData>
    <row r="1" spans="1:8" ht="27.75" customHeight="1" x14ac:dyDescent="0.4">
      <c r="A1" s="1" t="s">
        <v>0</v>
      </c>
      <c r="B1" s="2"/>
      <c r="C1" s="2"/>
      <c r="D1" s="2"/>
      <c r="E1" s="2"/>
      <c r="F1" s="2"/>
      <c r="G1" s="2"/>
      <c r="H1" s="2"/>
    </row>
    <row r="2" spans="1:8" ht="21.75" customHeight="1" x14ac:dyDescent="0.4">
      <c r="A2" s="3" t="s">
        <v>1</v>
      </c>
      <c r="B2" s="4"/>
      <c r="C2" s="4"/>
      <c r="D2" s="4"/>
      <c r="E2" s="4"/>
      <c r="F2" s="4"/>
      <c r="G2" s="4"/>
      <c r="H2" s="4"/>
    </row>
    <row r="3" spans="1:8" ht="18" customHeight="1" x14ac:dyDescent="0.4">
      <c r="A3" s="5" t="s">
        <v>2</v>
      </c>
      <c r="B3" s="6"/>
      <c r="C3" s="7" t="s">
        <v>3</v>
      </c>
      <c r="D3" s="6"/>
      <c r="E3" s="8" t="s">
        <v>4</v>
      </c>
      <c r="F3" s="6"/>
      <c r="G3" s="9" t="s">
        <v>5</v>
      </c>
      <c r="H3" s="6"/>
    </row>
    <row r="4" spans="1:8" ht="21.75" customHeight="1" x14ac:dyDescent="0.4">
      <c r="A4" s="10">
        <v>20</v>
      </c>
      <c r="B4" s="6"/>
      <c r="C4" s="11">
        <f>SUM(D8:D27)</f>
        <v>2295131</v>
      </c>
      <c r="D4" s="12"/>
      <c r="E4" s="13">
        <f>SUM(E8:E27)</f>
        <v>209450</v>
      </c>
      <c r="F4" s="14"/>
      <c r="G4" s="15">
        <f>D4-E4</f>
        <v>-209450</v>
      </c>
      <c r="H4" s="6"/>
    </row>
    <row r="5" spans="1:8" ht="6" customHeight="1" x14ac:dyDescent="0.4"/>
    <row r="6" spans="1:8" ht="6" customHeight="1" x14ac:dyDescent="0.4"/>
    <row r="7" spans="1:8" ht="19.5" customHeight="1" x14ac:dyDescent="0.4">
      <c r="A7" s="16" t="s">
        <v>6</v>
      </c>
      <c r="B7" s="16" t="s">
        <v>7</v>
      </c>
      <c r="C7" s="16" t="s">
        <v>8</v>
      </c>
      <c r="D7" s="16" t="s">
        <v>9</v>
      </c>
      <c r="E7" s="16" t="s">
        <v>10</v>
      </c>
      <c r="F7" s="16" t="s">
        <v>11</v>
      </c>
      <c r="G7" s="16" t="s">
        <v>12</v>
      </c>
      <c r="H7" s="16" t="s">
        <v>13</v>
      </c>
    </row>
    <row r="8" spans="1:8" ht="18" customHeight="1" x14ac:dyDescent="0.4">
      <c r="A8" s="17">
        <v>1</v>
      </c>
      <c r="B8" s="18" t="s">
        <v>14</v>
      </c>
      <c r="C8" s="19" t="s">
        <v>15</v>
      </c>
      <c r="D8" s="20">
        <f>'Aakash Ice Cream'!D3</f>
        <v>231080</v>
      </c>
      <c r="E8" s="21">
        <f>'Aakash Ice Cream'!F3</f>
        <v>200000</v>
      </c>
      <c r="F8" s="22" t="str">
        <f>'Aakash Ice Cream'!D4</f>
        <v>👉 Enter data below from Row 6 onwards</v>
      </c>
      <c r="G8" s="17">
        <f>'Aakash Ice Cream'!B3</f>
        <v>18</v>
      </c>
      <c r="H8" s="17" t="str">
        <f t="shared" ref="H8:H27" si="0">IF(F8=0,"✅ CLEARED","⏳ PENDING")</f>
        <v>⏳ PENDING</v>
      </c>
    </row>
    <row r="9" spans="1:8" ht="18" customHeight="1" x14ac:dyDescent="0.4">
      <c r="A9" s="23">
        <v>2</v>
      </c>
      <c r="B9" s="24" t="s">
        <v>16</v>
      </c>
      <c r="C9" s="25" t="s">
        <v>15</v>
      </c>
      <c r="D9" s="26">
        <f>'Annapurneshwari Sweets'!D3</f>
        <v>32480</v>
      </c>
      <c r="E9" s="27">
        <f>'Annapurneshwari Sweets'!F3</f>
        <v>0</v>
      </c>
      <c r="F9" s="28" t="str">
        <f>'Annapurneshwari Sweets'!D4</f>
        <v>👉 Enter data below from Row 6 onwards</v>
      </c>
      <c r="G9" s="23">
        <f>'Annapurneshwari Sweets'!B3</f>
        <v>4</v>
      </c>
      <c r="H9" s="23" t="str">
        <f t="shared" si="0"/>
        <v>⏳ PENDING</v>
      </c>
    </row>
    <row r="10" spans="1:8" ht="18" customHeight="1" x14ac:dyDescent="0.4">
      <c r="A10" s="17">
        <v>3</v>
      </c>
      <c r="B10" s="18" t="s">
        <v>17</v>
      </c>
      <c r="C10" s="19" t="s">
        <v>15</v>
      </c>
      <c r="D10" s="20">
        <f>'Baleyale (Kumara)'!D3</f>
        <v>11070</v>
      </c>
      <c r="E10" s="21">
        <f>'Baleyale (Kumara)'!F3</f>
        <v>0</v>
      </c>
      <c r="F10" s="22" t="str">
        <f>'Baleyale (Kumara)'!D4</f>
        <v>👉 Enter data below from Row 6 onwards</v>
      </c>
      <c r="G10" s="17">
        <f>'Baleyale (Kumara)'!B3</f>
        <v>1</v>
      </c>
      <c r="H10" s="17" t="str">
        <f t="shared" si="0"/>
        <v>⏳ PENDING</v>
      </c>
    </row>
    <row r="11" spans="1:8" ht="18" customHeight="1" x14ac:dyDescent="0.4">
      <c r="A11" s="23">
        <v>4</v>
      </c>
      <c r="B11" s="24" t="s">
        <v>18</v>
      </c>
      <c r="C11" s="25" t="s">
        <v>15</v>
      </c>
      <c r="D11" s="26">
        <f>'BSV Sweets'!D3</f>
        <v>2298</v>
      </c>
      <c r="E11" s="27">
        <f>'BSV Sweets'!F3</f>
        <v>0</v>
      </c>
      <c r="F11" s="28" t="str">
        <f>'BSV Sweets'!D4</f>
        <v>👉 Enter data below from Row 6 onwards</v>
      </c>
      <c r="G11" s="23">
        <f>'BSV Sweets'!B3</f>
        <v>1</v>
      </c>
      <c r="H11" s="23" t="str">
        <f t="shared" si="0"/>
        <v>⏳ PENDING</v>
      </c>
    </row>
    <row r="12" spans="1:8" ht="18" customHeight="1" x14ac:dyDescent="0.4">
      <c r="A12" s="17">
        <v>5</v>
      </c>
      <c r="B12" s="18" t="s">
        <v>19</v>
      </c>
      <c r="C12" s="19" t="s">
        <v>15</v>
      </c>
      <c r="D12" s="20">
        <f>'Girish Gas'!D3</f>
        <v>28600</v>
      </c>
      <c r="E12" s="21">
        <f>'Girish Gas'!F3</f>
        <v>0</v>
      </c>
      <c r="F12" s="22" t="str">
        <f>'Girish Gas'!D4</f>
        <v>👉 Enter data below from Row 6 onwards</v>
      </c>
      <c r="G12" s="17">
        <f>'Girish Gas'!B3</f>
        <v>1</v>
      </c>
      <c r="H12" s="17" t="str">
        <f t="shared" si="0"/>
        <v>⏳ PENDING</v>
      </c>
    </row>
    <row r="13" spans="1:8" ht="18" customHeight="1" x14ac:dyDescent="0.4">
      <c r="A13" s="23">
        <v>6</v>
      </c>
      <c r="B13" s="24" t="s">
        <v>20</v>
      </c>
      <c r="C13" s="25" t="s">
        <v>15</v>
      </c>
      <c r="D13" s="26">
        <f>'Govardhan Milk &amp; Curd'!D3</f>
        <v>1548820</v>
      </c>
      <c r="E13" s="27">
        <f>'Govardhan Milk &amp; Curd'!F3</f>
        <v>0</v>
      </c>
      <c r="F13" s="28" t="str">
        <f>'Govardhan Milk &amp; Curd'!D4</f>
        <v>👉 Enter data below from Row 6 onwards</v>
      </c>
      <c r="G13" s="23">
        <f>'Govardhan Milk &amp; Curd'!B3</f>
        <v>53</v>
      </c>
      <c r="H13" s="23" t="str">
        <f t="shared" si="0"/>
        <v>⏳ PENDING</v>
      </c>
    </row>
    <row r="14" spans="1:8" ht="18" customHeight="1" x14ac:dyDescent="0.4">
      <c r="A14" s="17">
        <v>7</v>
      </c>
      <c r="B14" s="18" t="s">
        <v>21</v>
      </c>
      <c r="C14" s="19" t="s">
        <v>15</v>
      </c>
      <c r="D14" s="20">
        <f>'Hebbar Sweets'!D3</f>
        <v>35408</v>
      </c>
      <c r="E14" s="21">
        <f>'Hebbar Sweets'!F3</f>
        <v>0</v>
      </c>
      <c r="F14" s="22" t="str">
        <f>'Hebbar Sweets'!D4</f>
        <v>👉 Enter data below from Row 6 onwards</v>
      </c>
      <c r="G14" s="17">
        <f>'Hebbar Sweets'!B3</f>
        <v>1</v>
      </c>
      <c r="H14" s="17" t="str">
        <f t="shared" si="0"/>
        <v>⏳ PENDING</v>
      </c>
    </row>
    <row r="15" spans="1:8" ht="18" customHeight="1" x14ac:dyDescent="0.4">
      <c r="A15" s="23">
        <v>8</v>
      </c>
      <c r="B15" s="24" t="s">
        <v>22</v>
      </c>
      <c r="C15" s="25" t="s">
        <v>15</v>
      </c>
      <c r="D15" s="26">
        <f>'Kisan – Vegetables'!D3</f>
        <v>142172</v>
      </c>
      <c r="E15" s="27">
        <f>'Kisan – Vegetables'!F3</f>
        <v>0</v>
      </c>
      <c r="F15" s="28" t="str">
        <f>'Kisan – Vegetables'!D4</f>
        <v>👉 Enter data below from Row 6 onwards</v>
      </c>
      <c r="G15" s="23">
        <f>'Kisan – Vegetables'!B3</f>
        <v>1</v>
      </c>
      <c r="H15" s="23" t="str">
        <f t="shared" si="0"/>
        <v>⏳ PENDING</v>
      </c>
    </row>
    <row r="16" spans="1:8" ht="18" customHeight="1" x14ac:dyDescent="0.4">
      <c r="A16" s="17">
        <v>9</v>
      </c>
      <c r="B16" s="18" t="s">
        <v>23</v>
      </c>
      <c r="C16" s="19" t="s">
        <v>15</v>
      </c>
      <c r="D16" s="20">
        <f>'Netra Chapati'!D3</f>
        <v>4560</v>
      </c>
      <c r="E16" s="21">
        <f>'Netra Chapati'!F3</f>
        <v>0</v>
      </c>
      <c r="F16" s="22" t="str">
        <f>'Netra Chapati'!D4</f>
        <v>👉 Enter data below from Row 6 onwards</v>
      </c>
      <c r="G16" s="17">
        <f>'Netra Chapati'!B3</f>
        <v>1</v>
      </c>
      <c r="H16" s="17" t="str">
        <f t="shared" si="0"/>
        <v>⏳ PENDING</v>
      </c>
    </row>
    <row r="17" spans="1:8" ht="18" customHeight="1" x14ac:dyDescent="0.4">
      <c r="A17" s="23">
        <v>10</v>
      </c>
      <c r="B17" s="24" t="s">
        <v>24</v>
      </c>
      <c r="C17" s="25" t="s">
        <v>15</v>
      </c>
      <c r="D17" s="26">
        <f>'Petrol and CNG'!D3</f>
        <v>0</v>
      </c>
      <c r="E17" s="27">
        <f>'Petrol and CNG'!F3</f>
        <v>0</v>
      </c>
      <c r="F17" s="28" t="str">
        <f>'Petrol and CNG'!D4</f>
        <v>👉 Enter data below from Row 6 onwards</v>
      </c>
      <c r="G17" s="23">
        <f>'Petrol and CNG'!B3</f>
        <v>0</v>
      </c>
      <c r="H17" s="23" t="str">
        <f t="shared" si="0"/>
        <v>⏳ PENDING</v>
      </c>
    </row>
    <row r="18" spans="1:8" ht="18" customHeight="1" x14ac:dyDescent="0.4">
      <c r="A18" s="17">
        <v>11</v>
      </c>
      <c r="B18" s="18" t="s">
        <v>25</v>
      </c>
      <c r="C18" s="19" t="s">
        <v>15</v>
      </c>
      <c r="D18" s="20">
        <f>'Plastic Items'!D3</f>
        <v>46636</v>
      </c>
      <c r="E18" s="21">
        <f>'Plastic Items'!F3</f>
        <v>0</v>
      </c>
      <c r="F18" s="22" t="str">
        <f>'Plastic Items'!D4</f>
        <v>👉 Enter data below from Row 6 onwards</v>
      </c>
      <c r="G18" s="17">
        <f>'Plastic Items'!B3</f>
        <v>1</v>
      </c>
      <c r="H18" s="17" t="str">
        <f t="shared" si="0"/>
        <v>⏳ PENDING</v>
      </c>
    </row>
    <row r="19" spans="1:8" ht="18" customHeight="1" x14ac:dyDescent="0.4">
      <c r="A19" s="23">
        <v>12</v>
      </c>
      <c r="B19" s="24" t="s">
        <v>26</v>
      </c>
      <c r="C19" s="25" t="s">
        <v>15</v>
      </c>
      <c r="D19" s="26">
        <f>'Raghavendra Sweets'!D3</f>
        <v>0</v>
      </c>
      <c r="E19" s="27">
        <f>'Raghavendra Sweets'!F3</f>
        <v>0</v>
      </c>
      <c r="F19" s="28" t="str">
        <f>'Raghavendra Sweets'!D4</f>
        <v>👉 Enter data below from Row 6 onwards</v>
      </c>
      <c r="G19" s="23">
        <f>'Raghavendra Sweets'!B3</f>
        <v>0</v>
      </c>
      <c r="H19" s="23" t="str">
        <f t="shared" si="0"/>
        <v>⏳ PENDING</v>
      </c>
    </row>
    <row r="20" spans="1:8" ht="18" customHeight="1" x14ac:dyDescent="0.4">
      <c r="A20" s="17">
        <v>13</v>
      </c>
      <c r="B20" s="18" t="s">
        <v>27</v>
      </c>
      <c r="C20" s="19" t="s">
        <v>15</v>
      </c>
      <c r="D20" s="20">
        <f>'Ramesh Areca Plate'!D3</f>
        <v>0</v>
      </c>
      <c r="E20" s="21">
        <f>'Ramesh Areca Plate'!F3</f>
        <v>9350</v>
      </c>
      <c r="F20" s="22" t="str">
        <f>'Ramesh Areca Plate'!D4</f>
        <v>👉 Enter data below from Row 6 onwards</v>
      </c>
      <c r="G20" s="17">
        <f>'Ramesh Areca Plate'!B3</f>
        <v>1</v>
      </c>
      <c r="H20" s="17" t="str">
        <f t="shared" si="0"/>
        <v>⏳ PENDING</v>
      </c>
    </row>
    <row r="21" spans="1:8" ht="18" customHeight="1" x14ac:dyDescent="0.4">
      <c r="A21" s="23">
        <v>14</v>
      </c>
      <c r="B21" s="24" t="s">
        <v>28</v>
      </c>
      <c r="C21" s="25" t="s">
        <v>15</v>
      </c>
      <c r="D21" s="26">
        <f>'Ramesh Beeda'!D3</f>
        <v>15855</v>
      </c>
      <c r="E21" s="27">
        <f>'Ramesh Beeda'!F3</f>
        <v>0</v>
      </c>
      <c r="F21" s="28" t="str">
        <f>'Ramesh Beeda'!D4</f>
        <v>👉 Enter data below from Row 6 onwards</v>
      </c>
      <c r="G21" s="23">
        <f>'Ramesh Beeda'!B3</f>
        <v>1</v>
      </c>
      <c r="H21" s="23" t="str">
        <f t="shared" si="0"/>
        <v>⏳ PENDING</v>
      </c>
    </row>
    <row r="22" spans="1:8" ht="18" customHeight="1" x14ac:dyDescent="0.4">
      <c r="A22" s="17">
        <v>15</v>
      </c>
      <c r="B22" s="18" t="s">
        <v>29</v>
      </c>
      <c r="C22" s="19" t="s">
        <v>15</v>
      </c>
      <c r="D22" s="20">
        <f>'Saffola Oil'!D3</f>
        <v>153752</v>
      </c>
      <c r="E22" s="21">
        <f>'Saffola Oil'!F3</f>
        <v>0</v>
      </c>
      <c r="F22" s="22" t="str">
        <f>'Saffola Oil'!D4</f>
        <v>👉 Enter data below from Row 6 onwards</v>
      </c>
      <c r="G22" s="17">
        <f>'Saffola Oil'!B3</f>
        <v>1</v>
      </c>
      <c r="H22" s="17" t="str">
        <f t="shared" si="0"/>
        <v>⏳ PENDING</v>
      </c>
    </row>
    <row r="23" spans="1:8" ht="18" customHeight="1" x14ac:dyDescent="0.4">
      <c r="A23" s="23">
        <v>16</v>
      </c>
      <c r="B23" s="24" t="s">
        <v>30</v>
      </c>
      <c r="C23" s="25" t="s">
        <v>15</v>
      </c>
      <c r="D23" s="26">
        <f>'Sunpure Oil'!D3</f>
        <v>0</v>
      </c>
      <c r="E23" s="27">
        <f>'Sunpure Oil'!F3</f>
        <v>100</v>
      </c>
      <c r="F23" s="28" t="str">
        <f>'Sunpure Oil'!D4</f>
        <v>👉 Enter data below from Row 6 onwards</v>
      </c>
      <c r="G23" s="23">
        <f>'Sunpure Oil'!B3</f>
        <v>1</v>
      </c>
      <c r="H23" s="23" t="str">
        <f t="shared" si="0"/>
        <v>⏳ PENDING</v>
      </c>
    </row>
    <row r="24" spans="1:8" ht="18" customHeight="1" x14ac:dyDescent="0.4">
      <c r="A24" s="17">
        <v>17</v>
      </c>
      <c r="B24" s="18" t="s">
        <v>31</v>
      </c>
      <c r="C24" s="19" t="s">
        <v>15</v>
      </c>
      <c r="D24" s="20">
        <f>Transport!D3</f>
        <v>0</v>
      </c>
      <c r="E24" s="21">
        <f>Transport!F3</f>
        <v>0</v>
      </c>
      <c r="F24" s="22" t="str">
        <f>Transport!D4</f>
        <v>👉 Enter data below from Row 6 onwards</v>
      </c>
      <c r="G24" s="17">
        <f>Transport!B3</f>
        <v>0</v>
      </c>
      <c r="H24" s="17" t="str">
        <f t="shared" si="0"/>
        <v>⏳ PENDING</v>
      </c>
    </row>
    <row r="25" spans="1:8" ht="18" customHeight="1" x14ac:dyDescent="0.4">
      <c r="A25" s="23">
        <v>18</v>
      </c>
      <c r="B25" s="24" t="s">
        <v>32</v>
      </c>
      <c r="C25" s="25" t="s">
        <v>15</v>
      </c>
      <c r="D25" s="26">
        <f>'Vinayaka Provision Store'!D3</f>
        <v>0</v>
      </c>
      <c r="E25" s="27">
        <f>'Vinayaka Provision Store'!F3</f>
        <v>0</v>
      </c>
      <c r="F25" s="28" t="str">
        <f>'Vinayaka Provision Store'!D4</f>
        <v>👉 Enter data below from Row 6 onwards</v>
      </c>
      <c r="G25" s="23">
        <f>'Vinayaka Provision Store'!B3</f>
        <v>0</v>
      </c>
      <c r="H25" s="23" t="str">
        <f t="shared" si="0"/>
        <v>⏳ PENDING</v>
      </c>
    </row>
    <row r="26" spans="1:8" ht="18" customHeight="1" x14ac:dyDescent="0.4">
      <c r="A26" s="17">
        <v>19</v>
      </c>
      <c r="B26" s="18" t="s">
        <v>33</v>
      </c>
      <c r="C26" s="19" t="s">
        <v>15</v>
      </c>
      <c r="D26" s="20">
        <f>'Water Anytime'!D3</f>
        <v>42400</v>
      </c>
      <c r="E26" s="21">
        <f>'Water Anytime'!F3</f>
        <v>0</v>
      </c>
      <c r="F26" s="22" t="str">
        <f>'Water Anytime'!D4</f>
        <v>👉 Enter data below from Row 6 onwards</v>
      </c>
      <c r="G26" s="17">
        <f>'Water Anytime'!B3</f>
        <v>1</v>
      </c>
      <c r="H26" s="17" t="str">
        <f t="shared" si="0"/>
        <v>⏳ PENDING</v>
      </c>
    </row>
    <row r="27" spans="1:8" ht="18" customHeight="1" x14ac:dyDescent="0.4">
      <c r="A27" s="23">
        <v>20</v>
      </c>
      <c r="B27" s="24" t="s">
        <v>34</v>
      </c>
      <c r="C27" s="25" t="s">
        <v>15</v>
      </c>
      <c r="D27" s="26">
        <f>'Gayathri Grocery'!D3</f>
        <v>0</v>
      </c>
      <c r="E27" s="27">
        <f>'Gayathri Grocery'!F3</f>
        <v>0</v>
      </c>
      <c r="F27" s="28" t="str">
        <f>'Gayathri Grocery'!D4</f>
        <v>👉 Enter data below from Row 6 onwards</v>
      </c>
      <c r="G27" s="23">
        <f>'Gayathri Grocery'!B3</f>
        <v>0</v>
      </c>
      <c r="H27" s="23" t="str">
        <f t="shared" si="0"/>
        <v>⏳ PENDING</v>
      </c>
    </row>
    <row r="28" spans="1:8" ht="19.5" customHeight="1" x14ac:dyDescent="0.4">
      <c r="A28" s="16" t="s">
        <v>35</v>
      </c>
      <c r="B28" s="29"/>
      <c r="C28" s="29"/>
      <c r="D28" s="30">
        <f>SUM(D8:D27)</f>
        <v>2295131</v>
      </c>
      <c r="E28" s="31">
        <f>SUM(E8:E27)</f>
        <v>209450</v>
      </c>
      <c r="F28" s="32">
        <f>D28-E28</f>
        <v>2085681</v>
      </c>
      <c r="G28" s="29"/>
      <c r="H28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zoomScaleNormal="100" workbookViewId="0"/>
  </sheetViews>
  <sheetFormatPr defaultColWidth="8.69140625" defaultRowHeight="14.6" x14ac:dyDescent="0.4"/>
  <cols>
    <col min="1" max="1" width="5" customWidth="1"/>
    <col min="2" max="2" width="14" customWidth="1"/>
    <col min="3" max="3" width="30" customWidth="1"/>
    <col min="4" max="4" width="22" customWidth="1"/>
    <col min="5" max="6" width="20" customWidth="1"/>
    <col min="7" max="7" width="25" customWidth="1"/>
    <col min="8" max="8" width="22" customWidth="1"/>
  </cols>
  <sheetData>
    <row r="1" spans="1:8" ht="27.75" customHeight="1" x14ac:dyDescent="0.4">
      <c r="A1" s="1" t="s">
        <v>36</v>
      </c>
      <c r="B1" s="2"/>
      <c r="C1" s="2"/>
      <c r="D1" s="2"/>
      <c r="E1" s="2"/>
      <c r="F1" s="2"/>
      <c r="G1" s="2"/>
      <c r="H1" s="2"/>
    </row>
    <row r="2" spans="1:8" ht="19.5" customHeight="1" x14ac:dyDescent="0.4">
      <c r="A2" s="33" t="s">
        <v>37</v>
      </c>
      <c r="B2" s="4"/>
      <c r="C2" s="4"/>
      <c r="D2" s="4"/>
      <c r="E2" s="4"/>
      <c r="F2" s="4"/>
      <c r="G2" s="4"/>
      <c r="H2" s="4"/>
    </row>
    <row r="3" spans="1:8" ht="7.5" customHeight="1" x14ac:dyDescent="0.4"/>
    <row r="4" spans="1:8" ht="30" customHeight="1" x14ac:dyDescent="0.4">
      <c r="A4" s="34" t="s">
        <v>6</v>
      </c>
      <c r="B4" s="34" t="s">
        <v>38</v>
      </c>
      <c r="C4" s="34" t="s">
        <v>39</v>
      </c>
      <c r="D4" s="34" t="s">
        <v>40</v>
      </c>
      <c r="E4" s="34" t="s">
        <v>41</v>
      </c>
      <c r="F4" s="34" t="s">
        <v>42</v>
      </c>
      <c r="G4" s="34" t="s">
        <v>43</v>
      </c>
      <c r="H4" s="34" t="s">
        <v>44</v>
      </c>
    </row>
    <row r="5" spans="1:8" ht="18" customHeight="1" x14ac:dyDescent="0.4">
      <c r="A5" s="17" t="str">
        <f t="shared" ref="A5:A36" si="0">IF(C5="","",ROW()-4)</f>
        <v/>
      </c>
      <c r="B5" s="35"/>
      <c r="C5" s="36"/>
      <c r="D5" s="36"/>
      <c r="E5" s="36"/>
      <c r="F5" s="36"/>
      <c r="G5" s="36"/>
      <c r="H5" s="36"/>
    </row>
    <row r="6" spans="1:8" ht="18" customHeight="1" x14ac:dyDescent="0.4">
      <c r="A6" s="23" t="str">
        <f t="shared" si="0"/>
        <v/>
      </c>
      <c r="B6" s="37"/>
      <c r="C6" s="38"/>
      <c r="D6" s="38"/>
      <c r="E6" s="38"/>
      <c r="F6" s="38"/>
      <c r="G6" s="38"/>
      <c r="H6" s="38"/>
    </row>
    <row r="7" spans="1:8" ht="18" customHeight="1" x14ac:dyDescent="0.4">
      <c r="A7" s="17" t="str">
        <f t="shared" si="0"/>
        <v/>
      </c>
      <c r="B7" s="35"/>
      <c r="C7" s="36"/>
      <c r="D7" s="36"/>
      <c r="E7" s="36"/>
      <c r="F7" s="36"/>
      <c r="G7" s="36"/>
      <c r="H7" s="36"/>
    </row>
    <row r="8" spans="1:8" ht="18" customHeight="1" x14ac:dyDescent="0.4">
      <c r="A8" s="23" t="str">
        <f t="shared" si="0"/>
        <v/>
      </c>
      <c r="B8" s="37"/>
      <c r="C8" s="38"/>
      <c r="D8" s="38"/>
      <c r="E8" s="38"/>
      <c r="F8" s="38"/>
      <c r="G8" s="38"/>
      <c r="H8" s="38"/>
    </row>
    <row r="9" spans="1:8" ht="18" customHeight="1" x14ac:dyDescent="0.4">
      <c r="A9" s="17" t="str">
        <f t="shared" si="0"/>
        <v/>
      </c>
      <c r="B9" s="35"/>
      <c r="C9" s="36"/>
      <c r="D9" s="36"/>
      <c r="E9" s="36"/>
      <c r="F9" s="36"/>
      <c r="G9" s="36"/>
      <c r="H9" s="36"/>
    </row>
    <row r="10" spans="1:8" ht="18" customHeight="1" x14ac:dyDescent="0.4">
      <c r="A10" s="23" t="str">
        <f t="shared" si="0"/>
        <v/>
      </c>
      <c r="B10" s="37"/>
      <c r="C10" s="38"/>
      <c r="D10" s="38"/>
      <c r="E10" s="38"/>
      <c r="F10" s="38"/>
      <c r="G10" s="38"/>
      <c r="H10" s="38"/>
    </row>
    <row r="11" spans="1:8" ht="18" customHeight="1" x14ac:dyDescent="0.4">
      <c r="A11" s="17" t="str">
        <f t="shared" si="0"/>
        <v/>
      </c>
      <c r="B11" s="35"/>
      <c r="C11" s="36"/>
      <c r="D11" s="36"/>
      <c r="E11" s="36"/>
      <c r="F11" s="36"/>
      <c r="G11" s="36"/>
      <c r="H11" s="36"/>
    </row>
    <row r="12" spans="1:8" ht="18" customHeight="1" x14ac:dyDescent="0.4">
      <c r="A12" s="23" t="str">
        <f t="shared" si="0"/>
        <v/>
      </c>
      <c r="B12" s="37"/>
      <c r="C12" s="38"/>
      <c r="D12" s="38"/>
      <c r="E12" s="38"/>
      <c r="F12" s="38"/>
      <c r="G12" s="38"/>
      <c r="H12" s="38"/>
    </row>
    <row r="13" spans="1:8" ht="18" customHeight="1" x14ac:dyDescent="0.4">
      <c r="A13" s="17" t="str">
        <f t="shared" si="0"/>
        <v/>
      </c>
      <c r="B13" s="35"/>
      <c r="C13" s="36"/>
      <c r="D13" s="36"/>
      <c r="E13" s="36"/>
      <c r="F13" s="36"/>
      <c r="G13" s="36"/>
      <c r="H13" s="36"/>
    </row>
    <row r="14" spans="1:8" ht="18" customHeight="1" x14ac:dyDescent="0.4">
      <c r="A14" s="23" t="str">
        <f t="shared" si="0"/>
        <v/>
      </c>
      <c r="B14" s="37"/>
      <c r="C14" s="38"/>
      <c r="D14" s="38"/>
      <c r="E14" s="38"/>
      <c r="F14" s="38"/>
      <c r="G14" s="38"/>
      <c r="H14" s="38"/>
    </row>
    <row r="15" spans="1:8" ht="18" customHeight="1" x14ac:dyDescent="0.4">
      <c r="A15" s="17" t="str">
        <f t="shared" si="0"/>
        <v/>
      </c>
      <c r="B15" s="35"/>
      <c r="C15" s="36"/>
      <c r="D15" s="36"/>
      <c r="E15" s="36"/>
      <c r="F15" s="36"/>
      <c r="G15" s="36"/>
      <c r="H15" s="36"/>
    </row>
    <row r="16" spans="1:8" ht="18" customHeight="1" x14ac:dyDescent="0.4">
      <c r="A16" s="23" t="str">
        <f t="shared" si="0"/>
        <v/>
      </c>
      <c r="B16" s="37"/>
      <c r="C16" s="38"/>
      <c r="D16" s="38"/>
      <c r="E16" s="38"/>
      <c r="F16" s="38"/>
      <c r="G16" s="38"/>
      <c r="H16" s="38"/>
    </row>
    <row r="17" spans="1:8" ht="18" customHeight="1" x14ac:dyDescent="0.4">
      <c r="A17" s="17" t="str">
        <f t="shared" si="0"/>
        <v/>
      </c>
      <c r="B17" s="35"/>
      <c r="C17" s="36"/>
      <c r="D17" s="36"/>
      <c r="E17" s="36"/>
      <c r="F17" s="36"/>
      <c r="G17" s="36"/>
      <c r="H17" s="36"/>
    </row>
    <row r="18" spans="1:8" ht="18" customHeight="1" x14ac:dyDescent="0.4">
      <c r="A18" s="23" t="str">
        <f t="shared" si="0"/>
        <v/>
      </c>
      <c r="B18" s="37"/>
      <c r="C18" s="38"/>
      <c r="D18" s="38"/>
      <c r="E18" s="38"/>
      <c r="F18" s="38"/>
      <c r="G18" s="38"/>
      <c r="H18" s="38"/>
    </row>
    <row r="19" spans="1:8" ht="18" customHeight="1" x14ac:dyDescent="0.4">
      <c r="A19" s="17" t="str">
        <f t="shared" si="0"/>
        <v/>
      </c>
      <c r="B19" s="35"/>
      <c r="C19" s="36"/>
      <c r="D19" s="36"/>
      <c r="E19" s="36"/>
      <c r="F19" s="36"/>
      <c r="G19" s="36"/>
      <c r="H19" s="36"/>
    </row>
    <row r="20" spans="1:8" ht="18" customHeight="1" x14ac:dyDescent="0.4">
      <c r="A20" s="23" t="str">
        <f t="shared" si="0"/>
        <v/>
      </c>
      <c r="B20" s="37"/>
      <c r="C20" s="38"/>
      <c r="D20" s="38"/>
      <c r="E20" s="38"/>
      <c r="F20" s="38"/>
      <c r="G20" s="38"/>
      <c r="H20" s="38"/>
    </row>
    <row r="21" spans="1:8" ht="18" customHeight="1" x14ac:dyDescent="0.4">
      <c r="A21" s="17" t="str">
        <f t="shared" si="0"/>
        <v/>
      </c>
      <c r="B21" s="35"/>
      <c r="C21" s="36"/>
      <c r="D21" s="36"/>
      <c r="E21" s="36"/>
      <c r="F21" s="36"/>
      <c r="G21" s="36"/>
      <c r="H21" s="36"/>
    </row>
    <row r="22" spans="1:8" ht="18" customHeight="1" x14ac:dyDescent="0.4">
      <c r="A22" s="23" t="str">
        <f t="shared" si="0"/>
        <v/>
      </c>
      <c r="B22" s="37"/>
      <c r="C22" s="38"/>
      <c r="D22" s="38"/>
      <c r="E22" s="38"/>
      <c r="F22" s="38"/>
      <c r="G22" s="38"/>
      <c r="H22" s="38"/>
    </row>
    <row r="23" spans="1:8" ht="18" customHeight="1" x14ac:dyDescent="0.4">
      <c r="A23" s="17" t="str">
        <f t="shared" si="0"/>
        <v/>
      </c>
      <c r="B23" s="35"/>
      <c r="C23" s="36"/>
      <c r="D23" s="36"/>
      <c r="E23" s="36"/>
      <c r="F23" s="36"/>
      <c r="G23" s="36"/>
      <c r="H23" s="36"/>
    </row>
    <row r="24" spans="1:8" ht="18" customHeight="1" x14ac:dyDescent="0.4">
      <c r="A24" s="23" t="str">
        <f t="shared" si="0"/>
        <v/>
      </c>
      <c r="B24" s="37"/>
      <c r="C24" s="38"/>
      <c r="D24" s="38"/>
      <c r="E24" s="38"/>
      <c r="F24" s="38"/>
      <c r="G24" s="38"/>
      <c r="H24" s="38"/>
    </row>
    <row r="25" spans="1:8" ht="18" customHeight="1" x14ac:dyDescent="0.4">
      <c r="A25" s="17" t="str">
        <f t="shared" si="0"/>
        <v/>
      </c>
      <c r="B25" s="35"/>
      <c r="C25" s="36"/>
      <c r="D25" s="36"/>
      <c r="E25" s="36"/>
      <c r="F25" s="36"/>
      <c r="G25" s="36"/>
      <c r="H25" s="36"/>
    </row>
    <row r="26" spans="1:8" ht="18" customHeight="1" x14ac:dyDescent="0.4">
      <c r="A26" s="23" t="str">
        <f t="shared" si="0"/>
        <v/>
      </c>
      <c r="B26" s="37"/>
      <c r="C26" s="38"/>
      <c r="D26" s="38"/>
      <c r="E26" s="38"/>
      <c r="F26" s="38"/>
      <c r="G26" s="38"/>
      <c r="H26" s="38"/>
    </row>
    <row r="27" spans="1:8" ht="18" customHeight="1" x14ac:dyDescent="0.4">
      <c r="A27" s="17" t="str">
        <f t="shared" si="0"/>
        <v/>
      </c>
      <c r="B27" s="35"/>
      <c r="C27" s="36"/>
      <c r="D27" s="36"/>
      <c r="E27" s="36"/>
      <c r="F27" s="36"/>
      <c r="G27" s="36"/>
      <c r="H27" s="36"/>
    </row>
    <row r="28" spans="1:8" ht="18" customHeight="1" x14ac:dyDescent="0.4">
      <c r="A28" s="23" t="str">
        <f t="shared" si="0"/>
        <v/>
      </c>
      <c r="B28" s="37"/>
      <c r="C28" s="38"/>
      <c r="D28" s="38"/>
      <c r="E28" s="38"/>
      <c r="F28" s="38"/>
      <c r="G28" s="38"/>
      <c r="H28" s="38"/>
    </row>
    <row r="29" spans="1:8" ht="18" customHeight="1" x14ac:dyDescent="0.4">
      <c r="A29" s="17" t="str">
        <f t="shared" si="0"/>
        <v/>
      </c>
      <c r="B29" s="35"/>
      <c r="C29" s="36"/>
      <c r="D29" s="36"/>
      <c r="E29" s="36"/>
      <c r="F29" s="36"/>
      <c r="G29" s="36"/>
      <c r="H29" s="36"/>
    </row>
    <row r="30" spans="1:8" ht="18" customHeight="1" x14ac:dyDescent="0.4">
      <c r="A30" s="23" t="str">
        <f t="shared" si="0"/>
        <v/>
      </c>
      <c r="B30" s="37"/>
      <c r="C30" s="38"/>
      <c r="D30" s="38"/>
      <c r="E30" s="38"/>
      <c r="F30" s="38"/>
      <c r="G30" s="38"/>
      <c r="H30" s="38"/>
    </row>
    <row r="31" spans="1:8" ht="18" customHeight="1" x14ac:dyDescent="0.4">
      <c r="A31" s="17" t="str">
        <f t="shared" si="0"/>
        <v/>
      </c>
      <c r="B31" s="35"/>
      <c r="C31" s="36"/>
      <c r="D31" s="36"/>
      <c r="E31" s="36"/>
      <c r="F31" s="36"/>
      <c r="G31" s="36"/>
      <c r="H31" s="36"/>
    </row>
    <row r="32" spans="1:8" ht="18" customHeight="1" x14ac:dyDescent="0.4">
      <c r="A32" s="23" t="str">
        <f t="shared" si="0"/>
        <v/>
      </c>
      <c r="B32" s="37"/>
      <c r="C32" s="38"/>
      <c r="D32" s="38"/>
      <c r="E32" s="38"/>
      <c r="F32" s="38"/>
      <c r="G32" s="38"/>
      <c r="H32" s="38"/>
    </row>
    <row r="33" spans="1:8" ht="18" customHeight="1" x14ac:dyDescent="0.4">
      <c r="A33" s="17" t="str">
        <f t="shared" si="0"/>
        <v/>
      </c>
      <c r="B33" s="35"/>
      <c r="C33" s="36"/>
      <c r="D33" s="36"/>
      <c r="E33" s="36"/>
      <c r="F33" s="36"/>
      <c r="G33" s="36"/>
      <c r="H33" s="36"/>
    </row>
    <row r="34" spans="1:8" ht="18" customHeight="1" x14ac:dyDescent="0.4">
      <c r="A34" s="23" t="str">
        <f t="shared" si="0"/>
        <v/>
      </c>
      <c r="B34" s="37"/>
      <c r="C34" s="38"/>
      <c r="D34" s="38"/>
      <c r="E34" s="38"/>
      <c r="F34" s="38"/>
      <c r="G34" s="38"/>
      <c r="H34" s="38"/>
    </row>
    <row r="35" spans="1:8" ht="18" customHeight="1" x14ac:dyDescent="0.4">
      <c r="A35" s="17" t="str">
        <f t="shared" si="0"/>
        <v/>
      </c>
      <c r="B35" s="35"/>
      <c r="C35" s="36"/>
      <c r="D35" s="36"/>
      <c r="E35" s="36"/>
      <c r="F35" s="36"/>
      <c r="G35" s="36"/>
      <c r="H35" s="36"/>
    </row>
    <row r="36" spans="1:8" ht="18" customHeight="1" x14ac:dyDescent="0.4">
      <c r="A36" s="23" t="str">
        <f t="shared" si="0"/>
        <v/>
      </c>
      <c r="B36" s="37"/>
      <c r="C36" s="38"/>
      <c r="D36" s="38"/>
      <c r="E36" s="38"/>
      <c r="F36" s="38"/>
      <c r="G36" s="38"/>
      <c r="H36" s="38"/>
    </row>
    <row r="37" spans="1:8" ht="18" customHeight="1" x14ac:dyDescent="0.4">
      <c r="A37" s="17" t="str">
        <f t="shared" ref="A37:A55" si="1">IF(C37="","",ROW()-4)</f>
        <v/>
      </c>
      <c r="B37" s="35"/>
      <c r="C37" s="36"/>
      <c r="D37" s="36"/>
      <c r="E37" s="36"/>
      <c r="F37" s="36"/>
      <c r="G37" s="36"/>
      <c r="H37" s="36"/>
    </row>
    <row r="38" spans="1:8" ht="18" customHeight="1" x14ac:dyDescent="0.4">
      <c r="A38" s="23" t="str">
        <f t="shared" si="1"/>
        <v/>
      </c>
      <c r="B38" s="37"/>
      <c r="C38" s="38"/>
      <c r="D38" s="38"/>
      <c r="E38" s="38"/>
      <c r="F38" s="38"/>
      <c r="G38" s="38"/>
      <c r="H38" s="38"/>
    </row>
    <row r="39" spans="1:8" ht="18" customHeight="1" x14ac:dyDescent="0.4">
      <c r="A39" s="17" t="str">
        <f t="shared" si="1"/>
        <v/>
      </c>
      <c r="B39" s="35"/>
      <c r="C39" s="36"/>
      <c r="D39" s="36"/>
      <c r="E39" s="36"/>
      <c r="F39" s="36"/>
      <c r="G39" s="36"/>
      <c r="H39" s="36"/>
    </row>
    <row r="40" spans="1:8" ht="18" customHeight="1" x14ac:dyDescent="0.4">
      <c r="A40" s="23" t="str">
        <f t="shared" si="1"/>
        <v/>
      </c>
      <c r="B40" s="37"/>
      <c r="C40" s="38"/>
      <c r="D40" s="38"/>
      <c r="E40" s="38"/>
      <c r="F40" s="38"/>
      <c r="G40" s="38"/>
      <c r="H40" s="38"/>
    </row>
    <row r="41" spans="1:8" ht="18" customHeight="1" x14ac:dyDescent="0.4">
      <c r="A41" s="17" t="str">
        <f t="shared" si="1"/>
        <v/>
      </c>
      <c r="B41" s="35"/>
      <c r="C41" s="36"/>
      <c r="D41" s="36"/>
      <c r="E41" s="36"/>
      <c r="F41" s="36"/>
      <c r="G41" s="36"/>
      <c r="H41" s="36"/>
    </row>
    <row r="42" spans="1:8" ht="18" customHeight="1" x14ac:dyDescent="0.4">
      <c r="A42" s="23" t="str">
        <f t="shared" si="1"/>
        <v/>
      </c>
      <c r="B42" s="37"/>
      <c r="C42" s="38"/>
      <c r="D42" s="38"/>
      <c r="E42" s="38"/>
      <c r="F42" s="38"/>
      <c r="G42" s="38"/>
      <c r="H42" s="38"/>
    </row>
    <row r="43" spans="1:8" ht="18" customHeight="1" x14ac:dyDescent="0.4">
      <c r="A43" s="17" t="str">
        <f t="shared" si="1"/>
        <v/>
      </c>
      <c r="B43" s="35"/>
      <c r="C43" s="36"/>
      <c r="D43" s="36"/>
      <c r="E43" s="36"/>
      <c r="F43" s="36"/>
      <c r="G43" s="36"/>
      <c r="H43" s="36"/>
    </row>
    <row r="44" spans="1:8" ht="18" customHeight="1" x14ac:dyDescent="0.4">
      <c r="A44" s="23" t="str">
        <f t="shared" si="1"/>
        <v/>
      </c>
      <c r="B44" s="37"/>
      <c r="C44" s="38"/>
      <c r="D44" s="38"/>
      <c r="E44" s="38"/>
      <c r="F44" s="38"/>
      <c r="G44" s="38"/>
      <c r="H44" s="38"/>
    </row>
    <row r="45" spans="1:8" ht="18" customHeight="1" x14ac:dyDescent="0.4">
      <c r="A45" s="17" t="str">
        <f t="shared" si="1"/>
        <v/>
      </c>
      <c r="B45" s="35"/>
      <c r="C45" s="36"/>
      <c r="D45" s="36"/>
      <c r="E45" s="36"/>
      <c r="F45" s="36"/>
      <c r="G45" s="36"/>
      <c r="H45" s="36"/>
    </row>
    <row r="46" spans="1:8" ht="18" customHeight="1" x14ac:dyDescent="0.4">
      <c r="A46" s="23" t="str">
        <f t="shared" si="1"/>
        <v/>
      </c>
      <c r="B46" s="37"/>
      <c r="C46" s="38"/>
      <c r="D46" s="38"/>
      <c r="E46" s="38"/>
      <c r="F46" s="38"/>
      <c r="G46" s="38"/>
      <c r="H46" s="38"/>
    </row>
    <row r="47" spans="1:8" ht="18" customHeight="1" x14ac:dyDescent="0.4">
      <c r="A47" s="17" t="str">
        <f t="shared" si="1"/>
        <v/>
      </c>
      <c r="B47" s="35"/>
      <c r="C47" s="36"/>
      <c r="D47" s="36"/>
      <c r="E47" s="36"/>
      <c r="F47" s="36"/>
      <c r="G47" s="36"/>
      <c r="H47" s="36"/>
    </row>
    <row r="48" spans="1:8" ht="18" customHeight="1" x14ac:dyDescent="0.4">
      <c r="A48" s="23" t="str">
        <f t="shared" si="1"/>
        <v/>
      </c>
      <c r="B48" s="37"/>
      <c r="C48" s="38"/>
      <c r="D48" s="38"/>
      <c r="E48" s="38"/>
      <c r="F48" s="38"/>
      <c r="G48" s="38"/>
      <c r="H48" s="38"/>
    </row>
    <row r="49" spans="1:8" ht="18" customHeight="1" x14ac:dyDescent="0.4">
      <c r="A49" s="17" t="str">
        <f t="shared" si="1"/>
        <v/>
      </c>
      <c r="B49" s="35"/>
      <c r="C49" s="36"/>
      <c r="D49" s="36"/>
      <c r="E49" s="36"/>
      <c r="F49" s="36"/>
      <c r="G49" s="36"/>
      <c r="H49" s="36"/>
    </row>
    <row r="50" spans="1:8" ht="18" customHeight="1" x14ac:dyDescent="0.4">
      <c r="A50" s="23" t="str">
        <f t="shared" si="1"/>
        <v/>
      </c>
      <c r="B50" s="37"/>
      <c r="C50" s="38"/>
      <c r="D50" s="38"/>
      <c r="E50" s="38"/>
      <c r="F50" s="38"/>
      <c r="G50" s="38"/>
      <c r="H50" s="38"/>
    </row>
    <row r="51" spans="1:8" ht="18" customHeight="1" x14ac:dyDescent="0.4">
      <c r="A51" s="17" t="str">
        <f t="shared" si="1"/>
        <v/>
      </c>
      <c r="B51" s="35"/>
      <c r="C51" s="36"/>
      <c r="D51" s="36"/>
      <c r="E51" s="36"/>
      <c r="F51" s="36"/>
      <c r="G51" s="36"/>
      <c r="H51" s="36"/>
    </row>
    <row r="52" spans="1:8" ht="18" customHeight="1" x14ac:dyDescent="0.4">
      <c r="A52" s="23" t="str">
        <f t="shared" si="1"/>
        <v/>
      </c>
      <c r="B52" s="37"/>
      <c r="C52" s="38"/>
      <c r="D52" s="38"/>
      <c r="E52" s="38"/>
      <c r="F52" s="38"/>
      <c r="G52" s="38"/>
      <c r="H52" s="38"/>
    </row>
    <row r="53" spans="1:8" ht="18" customHeight="1" x14ac:dyDescent="0.4">
      <c r="A53" s="17" t="str">
        <f t="shared" si="1"/>
        <v/>
      </c>
      <c r="B53" s="35"/>
      <c r="C53" s="36"/>
      <c r="D53" s="36"/>
      <c r="E53" s="36"/>
      <c r="F53" s="36"/>
      <c r="G53" s="36"/>
      <c r="H53" s="36"/>
    </row>
    <row r="54" spans="1:8" ht="18" customHeight="1" x14ac:dyDescent="0.4">
      <c r="A54" s="23" t="str">
        <f t="shared" si="1"/>
        <v/>
      </c>
      <c r="B54" s="37"/>
      <c r="C54" s="38"/>
      <c r="D54" s="38"/>
      <c r="E54" s="38"/>
      <c r="F54" s="38"/>
      <c r="G54" s="38"/>
      <c r="H54" s="38"/>
    </row>
    <row r="55" spans="1:8" ht="18" customHeight="1" x14ac:dyDescent="0.4">
      <c r="A55" s="17" t="str">
        <f t="shared" si="1"/>
        <v/>
      </c>
      <c r="B55" s="35"/>
      <c r="C55" s="36"/>
      <c r="D55" s="36"/>
      <c r="E55" s="36"/>
      <c r="F55" s="36"/>
      <c r="G55" s="36"/>
      <c r="H55" s="36"/>
    </row>
    <row r="56" spans="1:8" ht="19.5" customHeight="1" x14ac:dyDescent="0.4">
      <c r="A56" s="16" t="s">
        <v>45</v>
      </c>
      <c r="B56" s="29"/>
      <c r="C56" s="29"/>
      <c r="D56" s="29"/>
      <c r="E56" s="30">
        <f>SUM(E5:E55)</f>
        <v>0</v>
      </c>
      <c r="F56" s="31">
        <f>SUM(F5:F55)</f>
        <v>0</v>
      </c>
      <c r="G56" s="29"/>
      <c r="H56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/>
  </sheetViews>
  <sheetFormatPr defaultColWidth="8.69140625" defaultRowHeight="14.6" x14ac:dyDescent="0.4"/>
  <cols>
    <col min="1" max="1" width="5" customWidth="1"/>
    <col min="2" max="2" width="28" customWidth="1"/>
    <col min="3" max="3" width="18" customWidth="1"/>
    <col min="4" max="5" width="22" customWidth="1"/>
    <col min="6" max="6" width="20" customWidth="1"/>
    <col min="7" max="7" width="30" customWidth="1"/>
  </cols>
  <sheetData>
    <row r="1" spans="1:7" ht="17.600000000000001" x14ac:dyDescent="0.4">
      <c r="A1" s="39" t="s">
        <v>0</v>
      </c>
    </row>
    <row r="2" spans="1:7" ht="15.45" x14ac:dyDescent="0.4">
      <c r="A2" s="40" t="s">
        <v>46</v>
      </c>
    </row>
    <row r="4" spans="1:7" x14ac:dyDescent="0.4">
      <c r="A4" s="41" t="s">
        <v>6</v>
      </c>
      <c r="B4" s="41" t="s">
        <v>7</v>
      </c>
      <c r="C4" s="41" t="s">
        <v>8</v>
      </c>
      <c r="D4" s="41" t="s">
        <v>47</v>
      </c>
      <c r="E4" s="41" t="s">
        <v>48</v>
      </c>
      <c r="F4" s="41" t="s">
        <v>49</v>
      </c>
      <c r="G4" s="41" t="s">
        <v>50</v>
      </c>
    </row>
    <row r="5" spans="1:7" x14ac:dyDescent="0.4">
      <c r="A5">
        <v>1</v>
      </c>
      <c r="B5" t="s">
        <v>19</v>
      </c>
      <c r="C5" t="s">
        <v>51</v>
      </c>
      <c r="D5">
        <v>70000</v>
      </c>
      <c r="E5">
        <v>41400</v>
      </c>
      <c r="F5">
        <v>28600</v>
      </c>
    </row>
    <row r="6" spans="1:7" x14ac:dyDescent="0.4">
      <c r="A6" s="42">
        <v>2</v>
      </c>
      <c r="B6" s="42" t="s">
        <v>23</v>
      </c>
      <c r="C6" s="42" t="s">
        <v>52</v>
      </c>
      <c r="D6" s="42">
        <v>4560</v>
      </c>
      <c r="E6" s="42">
        <v>0</v>
      </c>
      <c r="F6" s="42">
        <v>4560</v>
      </c>
      <c r="G6" s="42"/>
    </row>
    <row r="7" spans="1:7" x14ac:dyDescent="0.4">
      <c r="A7">
        <v>3</v>
      </c>
      <c r="B7" t="s">
        <v>21</v>
      </c>
      <c r="C7" t="s">
        <v>53</v>
      </c>
      <c r="D7">
        <v>35408</v>
      </c>
      <c r="E7">
        <v>0</v>
      </c>
      <c r="F7">
        <v>35408</v>
      </c>
    </row>
    <row r="8" spans="1:7" x14ac:dyDescent="0.4">
      <c r="A8" s="42">
        <v>4</v>
      </c>
      <c r="B8" s="42" t="s">
        <v>18</v>
      </c>
      <c r="C8" s="42" t="s">
        <v>53</v>
      </c>
      <c r="D8" s="42">
        <v>2298</v>
      </c>
      <c r="E8" s="42">
        <v>0</v>
      </c>
      <c r="F8" s="42">
        <v>2298</v>
      </c>
      <c r="G8" s="42"/>
    </row>
    <row r="9" spans="1:7" x14ac:dyDescent="0.4">
      <c r="A9">
        <v>5</v>
      </c>
      <c r="B9" t="s">
        <v>22</v>
      </c>
      <c r="C9" t="s">
        <v>54</v>
      </c>
      <c r="D9">
        <v>142172</v>
      </c>
      <c r="E9">
        <v>0</v>
      </c>
      <c r="F9">
        <v>142172</v>
      </c>
    </row>
    <row r="10" spans="1:7" x14ac:dyDescent="0.4">
      <c r="A10" s="42">
        <v>6</v>
      </c>
      <c r="B10" s="42" t="s">
        <v>27</v>
      </c>
      <c r="C10" s="42" t="s">
        <v>55</v>
      </c>
      <c r="D10" s="42">
        <v>1650</v>
      </c>
      <c r="E10" s="42">
        <v>11000</v>
      </c>
      <c r="F10" s="42">
        <v>-9350</v>
      </c>
      <c r="G10" s="42"/>
    </row>
    <row r="11" spans="1:7" x14ac:dyDescent="0.4">
      <c r="A11">
        <v>7</v>
      </c>
      <c r="B11" t="s">
        <v>30</v>
      </c>
      <c r="C11" t="s">
        <v>54</v>
      </c>
      <c r="D11">
        <v>111100</v>
      </c>
      <c r="E11">
        <v>111200</v>
      </c>
      <c r="F11">
        <v>-100</v>
      </c>
    </row>
    <row r="12" spans="1:7" x14ac:dyDescent="0.4">
      <c r="A12" s="42">
        <v>8</v>
      </c>
      <c r="B12" s="42" t="s">
        <v>25</v>
      </c>
      <c r="C12" s="42" t="s">
        <v>55</v>
      </c>
      <c r="D12" s="42">
        <v>46636</v>
      </c>
      <c r="E12" s="42">
        <v>0</v>
      </c>
      <c r="F12" s="42">
        <v>46636</v>
      </c>
      <c r="G12" s="42"/>
    </row>
    <row r="13" spans="1:7" x14ac:dyDescent="0.4">
      <c r="A13">
        <v>9</v>
      </c>
      <c r="B13" t="s">
        <v>17</v>
      </c>
      <c r="C13" t="s">
        <v>56</v>
      </c>
      <c r="D13">
        <v>11070</v>
      </c>
      <c r="E13">
        <v>0</v>
      </c>
      <c r="F13">
        <v>11070</v>
      </c>
    </row>
    <row r="14" spans="1:7" x14ac:dyDescent="0.4">
      <c r="A14" s="42">
        <v>10</v>
      </c>
      <c r="B14" s="42" t="s">
        <v>29</v>
      </c>
      <c r="C14" s="42" t="s">
        <v>54</v>
      </c>
      <c r="D14" s="42">
        <v>153752</v>
      </c>
      <c r="E14" s="42">
        <v>0</v>
      </c>
      <c r="F14" s="42">
        <v>153752</v>
      </c>
      <c r="G14" s="42"/>
    </row>
    <row r="15" spans="1:7" x14ac:dyDescent="0.4">
      <c r="A15">
        <v>11</v>
      </c>
      <c r="B15" t="s">
        <v>33</v>
      </c>
      <c r="C15" t="s">
        <v>57</v>
      </c>
      <c r="D15">
        <v>43200</v>
      </c>
      <c r="E15">
        <v>800</v>
      </c>
      <c r="F15">
        <v>42400</v>
      </c>
    </row>
    <row r="16" spans="1:7" x14ac:dyDescent="0.4">
      <c r="A16" s="42">
        <v>12</v>
      </c>
      <c r="B16" s="42" t="s">
        <v>28</v>
      </c>
      <c r="C16" s="42" t="s">
        <v>52</v>
      </c>
      <c r="D16" s="42">
        <v>15855</v>
      </c>
      <c r="E16" s="42">
        <v>0</v>
      </c>
      <c r="F16" s="42">
        <v>15855</v>
      </c>
      <c r="G16" s="42"/>
    </row>
    <row r="17" spans="1:7" x14ac:dyDescent="0.4">
      <c r="A17" s="43"/>
      <c r="B17" s="43" t="s">
        <v>58</v>
      </c>
      <c r="C17" s="43"/>
      <c r="D17" s="43">
        <f>SUM(D5:D16)</f>
        <v>637701</v>
      </c>
      <c r="E17" s="43">
        <f>SUM(E5:E16)</f>
        <v>164400</v>
      </c>
      <c r="F17" s="43">
        <f>D17-E17</f>
        <v>473301</v>
      </c>
      <c r="G17" s="4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Normal="100" workbookViewId="0"/>
  </sheetViews>
  <sheetFormatPr defaultColWidth="8.69140625" defaultRowHeight="14.6" x14ac:dyDescent="0.4"/>
  <cols>
    <col min="1" max="1" width="5" customWidth="1"/>
    <col min="2" max="2" width="30" customWidth="1"/>
    <col min="3" max="4" width="22" customWidth="1"/>
    <col min="5" max="6" width="20" customWidth="1"/>
    <col min="7" max="7" width="22" customWidth="1"/>
  </cols>
  <sheetData>
    <row r="1" spans="1:7" ht="27.75" customHeight="1" x14ac:dyDescent="0.4">
      <c r="A1" s="1" t="s">
        <v>0</v>
      </c>
      <c r="B1" s="2"/>
      <c r="C1" s="2"/>
      <c r="D1" s="2"/>
      <c r="E1" s="2"/>
      <c r="F1" s="2"/>
      <c r="G1" s="2"/>
    </row>
    <row r="2" spans="1:7" ht="21.75" customHeight="1" x14ac:dyDescent="0.4">
      <c r="A2" s="3" t="s">
        <v>59</v>
      </c>
      <c r="B2" s="4"/>
      <c r="C2" s="4"/>
      <c r="D2" s="4"/>
      <c r="E2" s="4"/>
      <c r="F2" s="4"/>
      <c r="G2" s="4"/>
    </row>
    <row r="3" spans="1:7" ht="7.5" customHeight="1" x14ac:dyDescent="0.4"/>
    <row r="4" spans="1:7" ht="19.5" customHeight="1" x14ac:dyDescent="0.4">
      <c r="A4" s="16" t="s">
        <v>6</v>
      </c>
      <c r="B4" s="16" t="s">
        <v>7</v>
      </c>
      <c r="C4" s="16" t="s">
        <v>8</v>
      </c>
      <c r="D4" s="16" t="s">
        <v>60</v>
      </c>
      <c r="E4" s="16" t="s">
        <v>61</v>
      </c>
      <c r="F4" s="16" t="s">
        <v>62</v>
      </c>
      <c r="G4" s="16" t="s">
        <v>63</v>
      </c>
    </row>
    <row r="5" spans="1:7" ht="18" customHeight="1" x14ac:dyDescent="0.4">
      <c r="A5" s="17">
        <v>1</v>
      </c>
      <c r="B5" s="18" t="s">
        <v>14</v>
      </c>
      <c r="C5" s="19" t="s">
        <v>52</v>
      </c>
      <c r="D5" s="17" t="s">
        <v>64</v>
      </c>
      <c r="E5" s="20">
        <f>'Aakash Ice Cream'!D3</f>
        <v>231080</v>
      </c>
      <c r="F5" s="21">
        <f>'Aakash Ice Cream'!F3</f>
        <v>200000</v>
      </c>
      <c r="G5" s="22">
        <f t="shared" ref="G5:G24" si="0">IF(D5="-",0,D5)+E5-F5</f>
        <v>31080</v>
      </c>
    </row>
    <row r="6" spans="1:7" ht="18" customHeight="1" x14ac:dyDescent="0.4">
      <c r="A6" s="23">
        <v>2</v>
      </c>
      <c r="B6" s="24" t="s">
        <v>16</v>
      </c>
      <c r="C6" s="25" t="s">
        <v>53</v>
      </c>
      <c r="D6" s="23" t="s">
        <v>64</v>
      </c>
      <c r="E6" s="26">
        <f>'Annapurneshwari Sweets'!D3</f>
        <v>32480</v>
      </c>
      <c r="F6" s="27">
        <f>'Annapurneshwari Sweets'!F3</f>
        <v>0</v>
      </c>
      <c r="G6" s="28">
        <f t="shared" si="0"/>
        <v>32480</v>
      </c>
    </row>
    <row r="7" spans="1:7" ht="18" customHeight="1" x14ac:dyDescent="0.4">
      <c r="A7" s="17">
        <v>3</v>
      </c>
      <c r="B7" s="18" t="s">
        <v>17</v>
      </c>
      <c r="C7" s="19" t="s">
        <v>56</v>
      </c>
      <c r="D7" s="17">
        <v>11070</v>
      </c>
      <c r="E7" s="20">
        <f>'Baleyale (Kumara)'!D3</f>
        <v>11070</v>
      </c>
      <c r="F7" s="21">
        <f>'Baleyale (Kumara)'!F3</f>
        <v>0</v>
      </c>
      <c r="G7" s="22">
        <f t="shared" si="0"/>
        <v>22140</v>
      </c>
    </row>
    <row r="8" spans="1:7" ht="18" customHeight="1" x14ac:dyDescent="0.4">
      <c r="A8" s="23">
        <v>4</v>
      </c>
      <c r="B8" s="24" t="s">
        <v>18</v>
      </c>
      <c r="C8" s="25" t="s">
        <v>53</v>
      </c>
      <c r="D8" s="23">
        <v>2298</v>
      </c>
      <c r="E8" s="26">
        <f>'BSV Sweets'!D3</f>
        <v>2298</v>
      </c>
      <c r="F8" s="27">
        <f>'BSV Sweets'!F3</f>
        <v>0</v>
      </c>
      <c r="G8" s="28">
        <f t="shared" si="0"/>
        <v>4596</v>
      </c>
    </row>
    <row r="9" spans="1:7" ht="18" customHeight="1" x14ac:dyDescent="0.4">
      <c r="A9" s="17">
        <v>5</v>
      </c>
      <c r="B9" s="18" t="s">
        <v>19</v>
      </c>
      <c r="C9" s="19" t="s">
        <v>51</v>
      </c>
      <c r="D9" s="17">
        <v>28600</v>
      </c>
      <c r="E9" s="20">
        <f>'Girish Gas'!D3</f>
        <v>28600</v>
      </c>
      <c r="F9" s="21">
        <f>'Girish Gas'!F3</f>
        <v>0</v>
      </c>
      <c r="G9" s="22">
        <f t="shared" si="0"/>
        <v>57200</v>
      </c>
    </row>
    <row r="10" spans="1:7" ht="18" customHeight="1" x14ac:dyDescent="0.4">
      <c r="A10" s="23">
        <v>6</v>
      </c>
      <c r="B10" s="24" t="s">
        <v>20</v>
      </c>
      <c r="C10" s="25" t="s">
        <v>65</v>
      </c>
      <c r="D10" s="23" t="s">
        <v>64</v>
      </c>
      <c r="E10" s="26">
        <f>'Govardhan Milk &amp; Curd'!D3</f>
        <v>1548820</v>
      </c>
      <c r="F10" s="27">
        <f>'Govardhan Milk &amp; Curd'!F3</f>
        <v>0</v>
      </c>
      <c r="G10" s="28">
        <f t="shared" si="0"/>
        <v>1548820</v>
      </c>
    </row>
    <row r="11" spans="1:7" ht="18" customHeight="1" x14ac:dyDescent="0.4">
      <c r="A11" s="17">
        <v>7</v>
      </c>
      <c r="B11" s="18" t="s">
        <v>21</v>
      </c>
      <c r="C11" s="19" t="s">
        <v>53</v>
      </c>
      <c r="D11" s="17">
        <v>35408</v>
      </c>
      <c r="E11" s="20">
        <f>'Hebbar Sweets'!D3</f>
        <v>35408</v>
      </c>
      <c r="F11" s="21">
        <f>'Hebbar Sweets'!F3</f>
        <v>0</v>
      </c>
      <c r="G11" s="22">
        <f t="shared" si="0"/>
        <v>70816</v>
      </c>
    </row>
    <row r="12" spans="1:7" ht="18" customHeight="1" x14ac:dyDescent="0.4">
      <c r="A12" s="23">
        <v>8</v>
      </c>
      <c r="B12" s="24" t="s">
        <v>22</v>
      </c>
      <c r="C12" s="25" t="s">
        <v>54</v>
      </c>
      <c r="D12" s="23">
        <v>142172</v>
      </c>
      <c r="E12" s="26">
        <f>'Kisan – Vegetables'!D3</f>
        <v>142172</v>
      </c>
      <c r="F12" s="27">
        <f>'Kisan – Vegetables'!F3</f>
        <v>0</v>
      </c>
      <c r="G12" s="28">
        <f t="shared" si="0"/>
        <v>284344</v>
      </c>
    </row>
    <row r="13" spans="1:7" ht="18" customHeight="1" x14ac:dyDescent="0.4">
      <c r="A13" s="17">
        <v>9</v>
      </c>
      <c r="B13" s="18" t="s">
        <v>23</v>
      </c>
      <c r="C13" s="19" t="s">
        <v>52</v>
      </c>
      <c r="D13" s="17">
        <v>4560</v>
      </c>
      <c r="E13" s="20">
        <f>'Netra Chapati'!D3</f>
        <v>4560</v>
      </c>
      <c r="F13" s="21">
        <f>'Netra Chapati'!F3</f>
        <v>0</v>
      </c>
      <c r="G13" s="22">
        <f t="shared" si="0"/>
        <v>9120</v>
      </c>
    </row>
    <row r="14" spans="1:7" ht="18" customHeight="1" x14ac:dyDescent="0.4">
      <c r="A14" s="23">
        <v>10</v>
      </c>
      <c r="B14" s="24" t="s">
        <v>24</v>
      </c>
      <c r="C14" s="25" t="s">
        <v>66</v>
      </c>
      <c r="D14" s="23" t="s">
        <v>64</v>
      </c>
      <c r="E14" s="26">
        <f>'Petrol and CNG'!D3</f>
        <v>0</v>
      </c>
      <c r="F14" s="27">
        <f>'Petrol and CNG'!F3</f>
        <v>0</v>
      </c>
      <c r="G14" s="28">
        <f t="shared" si="0"/>
        <v>0</v>
      </c>
    </row>
    <row r="15" spans="1:7" ht="18" customHeight="1" x14ac:dyDescent="0.4">
      <c r="A15" s="17">
        <v>11</v>
      </c>
      <c r="B15" s="18" t="s">
        <v>25</v>
      </c>
      <c r="C15" s="19" t="s">
        <v>55</v>
      </c>
      <c r="D15" s="17">
        <v>46636</v>
      </c>
      <c r="E15" s="20">
        <f>'Plastic Items'!D3</f>
        <v>46636</v>
      </c>
      <c r="F15" s="21">
        <f>'Plastic Items'!F3</f>
        <v>0</v>
      </c>
      <c r="G15" s="22">
        <f t="shared" si="0"/>
        <v>93272</v>
      </c>
    </row>
    <row r="16" spans="1:7" ht="18" customHeight="1" x14ac:dyDescent="0.4">
      <c r="A16" s="23">
        <v>12</v>
      </c>
      <c r="B16" s="24" t="s">
        <v>26</v>
      </c>
      <c r="C16" s="25" t="s">
        <v>53</v>
      </c>
      <c r="D16" s="23" t="s">
        <v>64</v>
      </c>
      <c r="E16" s="26">
        <f>'Raghavendra Sweets'!D3</f>
        <v>0</v>
      </c>
      <c r="F16" s="27">
        <f>'Raghavendra Sweets'!F3</f>
        <v>0</v>
      </c>
      <c r="G16" s="28">
        <f t="shared" si="0"/>
        <v>0</v>
      </c>
    </row>
    <row r="17" spans="1:7" ht="18" customHeight="1" x14ac:dyDescent="0.4">
      <c r="A17" s="17">
        <v>13</v>
      </c>
      <c r="B17" s="18" t="s">
        <v>27</v>
      </c>
      <c r="C17" s="19" t="s">
        <v>55</v>
      </c>
      <c r="D17" s="17">
        <v>-9350</v>
      </c>
      <c r="E17" s="20">
        <f>'Ramesh Areca Plate'!D3</f>
        <v>0</v>
      </c>
      <c r="F17" s="21">
        <f>'Ramesh Areca Plate'!F3</f>
        <v>9350</v>
      </c>
      <c r="G17" s="22">
        <f t="shared" si="0"/>
        <v>-18700</v>
      </c>
    </row>
    <row r="18" spans="1:7" ht="18" customHeight="1" x14ac:dyDescent="0.4">
      <c r="A18" s="23">
        <v>14</v>
      </c>
      <c r="B18" s="24" t="s">
        <v>28</v>
      </c>
      <c r="C18" s="25" t="s">
        <v>52</v>
      </c>
      <c r="D18" s="23">
        <v>15855</v>
      </c>
      <c r="E18" s="26">
        <f>'Ramesh Beeda'!D3</f>
        <v>15855</v>
      </c>
      <c r="F18" s="27">
        <f>'Ramesh Beeda'!F3</f>
        <v>0</v>
      </c>
      <c r="G18" s="28">
        <f t="shared" si="0"/>
        <v>31710</v>
      </c>
    </row>
    <row r="19" spans="1:7" ht="18" customHeight="1" x14ac:dyDescent="0.4">
      <c r="A19" s="17">
        <v>15</v>
      </c>
      <c r="B19" s="18" t="s">
        <v>29</v>
      </c>
      <c r="C19" s="19" t="s">
        <v>54</v>
      </c>
      <c r="D19" s="17">
        <v>153752</v>
      </c>
      <c r="E19" s="20">
        <f>'Saffola Oil'!D3</f>
        <v>153752</v>
      </c>
      <c r="F19" s="21">
        <f>'Saffola Oil'!F3</f>
        <v>0</v>
      </c>
      <c r="G19" s="22">
        <f t="shared" si="0"/>
        <v>307504</v>
      </c>
    </row>
    <row r="20" spans="1:7" ht="18" customHeight="1" x14ac:dyDescent="0.4">
      <c r="A20" s="23">
        <v>16</v>
      </c>
      <c r="B20" s="24" t="s">
        <v>30</v>
      </c>
      <c r="C20" s="25" t="s">
        <v>54</v>
      </c>
      <c r="D20" s="23">
        <v>-100</v>
      </c>
      <c r="E20" s="26">
        <f>'Sunpure Oil'!D3</f>
        <v>0</v>
      </c>
      <c r="F20" s="27">
        <f>'Sunpure Oil'!F3</f>
        <v>100</v>
      </c>
      <c r="G20" s="28">
        <f t="shared" si="0"/>
        <v>-200</v>
      </c>
    </row>
    <row r="21" spans="1:7" ht="18" customHeight="1" x14ac:dyDescent="0.4">
      <c r="A21" s="17">
        <v>17</v>
      </c>
      <c r="B21" s="18" t="s">
        <v>31</v>
      </c>
      <c r="C21" s="19" t="s">
        <v>66</v>
      </c>
      <c r="D21" s="17" t="s">
        <v>64</v>
      </c>
      <c r="E21" s="20">
        <f>Transport!D3</f>
        <v>0</v>
      </c>
      <c r="F21" s="21">
        <f>Transport!F3</f>
        <v>0</v>
      </c>
      <c r="G21" s="22">
        <f t="shared" si="0"/>
        <v>0</v>
      </c>
    </row>
    <row r="22" spans="1:7" ht="18" customHeight="1" x14ac:dyDescent="0.4">
      <c r="A22" s="23">
        <v>18</v>
      </c>
      <c r="B22" s="24" t="s">
        <v>32</v>
      </c>
      <c r="C22" s="25" t="s">
        <v>57</v>
      </c>
      <c r="D22" s="23" t="s">
        <v>64</v>
      </c>
      <c r="E22" s="26">
        <f>'Vinayaka Provision Store'!D3</f>
        <v>0</v>
      </c>
      <c r="F22" s="27">
        <f>'Vinayaka Provision Store'!F3</f>
        <v>0</v>
      </c>
      <c r="G22" s="28">
        <f t="shared" si="0"/>
        <v>0</v>
      </c>
    </row>
    <row r="23" spans="1:7" ht="18" customHeight="1" x14ac:dyDescent="0.4">
      <c r="A23" s="17">
        <v>19</v>
      </c>
      <c r="B23" s="18" t="s">
        <v>33</v>
      </c>
      <c r="C23" s="19" t="s">
        <v>57</v>
      </c>
      <c r="D23" s="17">
        <v>42400</v>
      </c>
      <c r="E23" s="20">
        <f>'Water Anytime'!D3</f>
        <v>42400</v>
      </c>
      <c r="F23" s="21">
        <f>'Water Anytime'!F3</f>
        <v>0</v>
      </c>
      <c r="G23" s="22">
        <f t="shared" si="0"/>
        <v>84800</v>
      </c>
    </row>
    <row r="24" spans="1:7" ht="18" customHeight="1" x14ac:dyDescent="0.4">
      <c r="A24" s="23">
        <v>20</v>
      </c>
      <c r="B24" s="24" t="s">
        <v>34</v>
      </c>
      <c r="C24" s="25" t="s">
        <v>67</v>
      </c>
      <c r="D24" s="23" t="s">
        <v>64</v>
      </c>
      <c r="E24" s="26">
        <f>'Gayathri Grocery'!D3</f>
        <v>0</v>
      </c>
      <c r="F24" s="27">
        <f>'Gayathri Grocery'!F3</f>
        <v>0</v>
      </c>
      <c r="G24" s="28">
        <f t="shared" si="0"/>
        <v>0</v>
      </c>
    </row>
    <row r="25" spans="1:7" ht="19.5" customHeight="1" x14ac:dyDescent="0.4">
      <c r="A25" s="16" t="s">
        <v>68</v>
      </c>
      <c r="B25" s="29"/>
      <c r="C25" s="29"/>
      <c r="D25" s="44">
        <f>SUMIF(D5:D24,"&lt;&gt;-",D5:D24)</f>
        <v>473301</v>
      </c>
      <c r="E25" s="30">
        <f>SUM(E5:E24)</f>
        <v>2295131</v>
      </c>
      <c r="F25" s="31">
        <f>SUM(F5:F24)</f>
        <v>209450</v>
      </c>
      <c r="G25" s="45">
        <f>SUM(G5:G24)</f>
        <v>2558982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showGridLines="0" zoomScale="64" zoomScaleNormal="64" workbookViewId="0">
      <pane ySplit="5" topLeftCell="A19" activePane="bottomLeft" state="frozen"/>
      <selection pane="bottomLeft" activeCell="F3" sqref="F3"/>
    </sheetView>
  </sheetViews>
  <sheetFormatPr defaultColWidth="8.69140625" defaultRowHeight="14.6" x14ac:dyDescent="0.4"/>
  <cols>
    <col min="1" max="1" width="9.15234375" customWidth="1"/>
    <col min="2" max="2" width="20.765625" customWidth="1"/>
    <col min="3" max="3" width="36" customWidth="1"/>
    <col min="4" max="4" width="8" customWidth="1"/>
    <col min="5" max="6" width="17" customWidth="1"/>
    <col min="7" max="7" width="28" customWidth="1"/>
  </cols>
  <sheetData>
    <row r="1" spans="1:10" ht="27.75" customHeight="1" x14ac:dyDescent="0.4">
      <c r="A1" s="100" t="s">
        <v>69</v>
      </c>
      <c r="B1" s="100"/>
      <c r="C1" s="100"/>
      <c r="D1" s="100"/>
      <c r="E1" s="100"/>
      <c r="F1" s="100"/>
      <c r="G1" s="100"/>
    </row>
    <row r="2" spans="1:10" ht="19.5" customHeight="1" x14ac:dyDescent="0.4">
      <c r="A2" s="99" t="s">
        <v>70</v>
      </c>
      <c r="B2" s="99"/>
      <c r="C2" s="99"/>
      <c r="D2" s="101" t="s">
        <v>9</v>
      </c>
      <c r="E2" s="101"/>
      <c r="F2" s="8" t="s">
        <v>10</v>
      </c>
      <c r="G2" s="8"/>
    </row>
    <row r="3" spans="1:10" ht="27.75" customHeight="1" x14ac:dyDescent="0.4">
      <c r="A3" s="47" t="s">
        <v>45</v>
      </c>
      <c r="B3" s="48">
        <f>COUNTA(B6:B469)</f>
        <v>18</v>
      </c>
      <c r="C3" s="49">
        <v>15270</v>
      </c>
      <c r="D3" s="95">
        <f>SUM(E6:E469)</f>
        <v>231080</v>
      </c>
      <c r="E3" s="96"/>
      <c r="F3" s="52">
        <f>SUM(F6:F469)</f>
        <v>200000</v>
      </c>
      <c r="G3" s="53"/>
    </row>
    <row r="4" spans="1:10" ht="19.5" customHeight="1" x14ac:dyDescent="0.4">
      <c r="A4" s="54" t="s">
        <v>71</v>
      </c>
      <c r="B4" s="55" t="s">
        <v>72</v>
      </c>
      <c r="C4" s="56">
        <f>D3-F3</f>
        <v>31080</v>
      </c>
      <c r="D4" s="57" t="s">
        <v>73</v>
      </c>
      <c r="E4" s="6"/>
      <c r="F4" s="6"/>
      <c r="G4" s="6"/>
    </row>
    <row r="5" spans="1:10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10" ht="18" customHeight="1" x14ac:dyDescent="0.4">
      <c r="A6" s="59">
        <v>1</v>
      </c>
      <c r="B6" s="60">
        <v>46113</v>
      </c>
      <c r="C6" s="61" t="s">
        <v>108</v>
      </c>
      <c r="D6" s="59">
        <v>72</v>
      </c>
      <c r="E6" s="62">
        <v>612</v>
      </c>
      <c r="F6" s="62"/>
      <c r="G6" s="61" t="s">
        <v>109</v>
      </c>
    </row>
    <row r="7" spans="1:10" ht="18" customHeight="1" x14ac:dyDescent="0.4">
      <c r="A7" s="17">
        <v>2</v>
      </c>
      <c r="B7" s="63">
        <v>46115</v>
      </c>
      <c r="C7" s="19" t="s">
        <v>110</v>
      </c>
      <c r="D7" s="17">
        <v>1</v>
      </c>
      <c r="E7" s="64">
        <v>300</v>
      </c>
      <c r="F7" s="64"/>
      <c r="G7" s="19" t="s">
        <v>109</v>
      </c>
      <c r="I7">
        <v>3</v>
      </c>
      <c r="J7">
        <v>900</v>
      </c>
    </row>
    <row r="8" spans="1:10" ht="18" customHeight="1" x14ac:dyDescent="0.4">
      <c r="A8" s="59">
        <v>3</v>
      </c>
      <c r="B8" s="60">
        <v>46116</v>
      </c>
      <c r="C8" s="61" t="s">
        <v>111</v>
      </c>
      <c r="D8" s="59">
        <v>246</v>
      </c>
      <c r="E8" s="62">
        <v>4858</v>
      </c>
      <c r="F8" s="62"/>
      <c r="G8" s="19" t="s">
        <v>109</v>
      </c>
      <c r="I8">
        <v>2</v>
      </c>
      <c r="J8">
        <v>800</v>
      </c>
    </row>
    <row r="9" spans="1:10" ht="18" customHeight="1" x14ac:dyDescent="0.4">
      <c r="A9" s="17">
        <v>4</v>
      </c>
      <c r="B9" s="60">
        <v>46117</v>
      </c>
      <c r="C9" s="19" t="s">
        <v>112</v>
      </c>
      <c r="D9" s="17">
        <v>191</v>
      </c>
      <c r="E9" s="64">
        <v>9500</v>
      </c>
      <c r="F9" s="64"/>
      <c r="G9" s="19" t="s">
        <v>109</v>
      </c>
      <c r="I9">
        <v>6</v>
      </c>
      <c r="J9">
        <v>2400</v>
      </c>
    </row>
    <row r="10" spans="1:10" ht="18" customHeight="1" x14ac:dyDescent="0.4">
      <c r="A10" s="59">
        <v>5</v>
      </c>
      <c r="B10" s="60">
        <v>46122</v>
      </c>
      <c r="C10" s="61" t="s">
        <v>113</v>
      </c>
      <c r="D10" s="59">
        <v>72</v>
      </c>
      <c r="E10" s="62">
        <v>1080</v>
      </c>
      <c r="F10" s="62"/>
      <c r="G10" s="19" t="s">
        <v>109</v>
      </c>
      <c r="I10">
        <v>180</v>
      </c>
      <c r="J10">
        <v>5400</v>
      </c>
    </row>
    <row r="11" spans="1:10" ht="18" customHeight="1" x14ac:dyDescent="0.4">
      <c r="A11" s="17">
        <v>6</v>
      </c>
      <c r="B11" s="63">
        <v>46123</v>
      </c>
      <c r="C11" s="19" t="s">
        <v>114</v>
      </c>
      <c r="D11" s="17">
        <v>40</v>
      </c>
      <c r="E11" s="64">
        <v>1200</v>
      </c>
      <c r="F11" s="64"/>
      <c r="G11" s="19" t="s">
        <v>109</v>
      </c>
    </row>
    <row r="12" spans="1:10" ht="18" customHeight="1" x14ac:dyDescent="0.4">
      <c r="A12" s="59">
        <v>7</v>
      </c>
      <c r="B12" s="60">
        <v>46124</v>
      </c>
      <c r="C12" t="s">
        <v>115</v>
      </c>
      <c r="D12" s="59">
        <v>1625</v>
      </c>
      <c r="E12" s="85">
        <v>25602</v>
      </c>
      <c r="F12" s="62"/>
      <c r="G12" s="19" t="s">
        <v>109</v>
      </c>
    </row>
    <row r="13" spans="1:10" ht="18" customHeight="1" x14ac:dyDescent="0.4">
      <c r="A13" s="17">
        <v>8</v>
      </c>
      <c r="B13" s="63">
        <v>46127</v>
      </c>
      <c r="C13" t="s">
        <v>116</v>
      </c>
      <c r="D13" s="17">
        <f>192+216</f>
        <v>408</v>
      </c>
      <c r="E13" s="64">
        <v>3468</v>
      </c>
      <c r="F13" s="64"/>
      <c r="G13" s="19" t="s">
        <v>109</v>
      </c>
    </row>
    <row r="14" spans="1:10" ht="18" customHeight="1" x14ac:dyDescent="0.4">
      <c r="A14" s="87">
        <v>9</v>
      </c>
      <c r="B14" s="88">
        <v>46128</v>
      </c>
      <c r="C14" s="89" t="s">
        <v>117</v>
      </c>
      <c r="D14" s="87">
        <v>171</v>
      </c>
      <c r="E14" s="90">
        <v>6690</v>
      </c>
      <c r="F14" s="90">
        <v>100000</v>
      </c>
      <c r="G14" s="91" t="s">
        <v>118</v>
      </c>
      <c r="I14" s="86"/>
    </row>
    <row r="15" spans="1:10" ht="18" customHeight="1" x14ac:dyDescent="0.4">
      <c r="A15" s="17">
        <v>10</v>
      </c>
      <c r="B15" s="63">
        <v>46131</v>
      </c>
      <c r="C15" s="19" t="s">
        <v>119</v>
      </c>
      <c r="D15" s="17">
        <v>308</v>
      </c>
      <c r="E15" s="64">
        <v>9748</v>
      </c>
      <c r="F15" s="64"/>
      <c r="G15" s="19" t="s">
        <v>109</v>
      </c>
    </row>
    <row r="16" spans="1:10" ht="18" customHeight="1" x14ac:dyDescent="0.4">
      <c r="A16" s="59">
        <v>11</v>
      </c>
      <c r="B16" s="60">
        <v>46132</v>
      </c>
      <c r="C16" s="61" t="s">
        <v>120</v>
      </c>
      <c r="D16" s="59">
        <v>1266</v>
      </c>
      <c r="E16" s="62">
        <v>29102</v>
      </c>
      <c r="F16" s="62"/>
      <c r="G16" s="19" t="s">
        <v>109</v>
      </c>
    </row>
    <row r="17" spans="1:7" ht="18" customHeight="1" x14ac:dyDescent="0.4">
      <c r="A17" s="17">
        <v>12</v>
      </c>
      <c r="B17" s="63">
        <v>46133</v>
      </c>
      <c r="C17" s="19" t="s">
        <v>121</v>
      </c>
      <c r="D17" s="17">
        <v>96</v>
      </c>
      <c r="E17" s="64">
        <v>816</v>
      </c>
      <c r="F17" s="64"/>
      <c r="G17" s="19" t="s">
        <v>109</v>
      </c>
    </row>
    <row r="18" spans="1:7" ht="18" customHeight="1" x14ac:dyDescent="0.4">
      <c r="A18" s="59">
        <v>13</v>
      </c>
      <c r="B18" s="60">
        <v>46134</v>
      </c>
      <c r="C18" s="61" t="s">
        <v>122</v>
      </c>
      <c r="D18" s="59">
        <v>48</v>
      </c>
      <c r="E18" s="62">
        <v>720</v>
      </c>
      <c r="F18" s="62"/>
      <c r="G18" s="19" t="s">
        <v>109</v>
      </c>
    </row>
    <row r="19" spans="1:7" ht="18" customHeight="1" x14ac:dyDescent="0.4">
      <c r="A19" s="17">
        <v>14</v>
      </c>
      <c r="B19" s="63">
        <v>46135</v>
      </c>
      <c r="C19" s="19" t="s">
        <v>123</v>
      </c>
      <c r="D19" s="17">
        <v>123</v>
      </c>
      <c r="E19" s="64">
        <v>2700</v>
      </c>
      <c r="F19" s="64"/>
      <c r="G19" s="19" t="s">
        <v>109</v>
      </c>
    </row>
    <row r="20" spans="1:7" ht="18" customHeight="1" x14ac:dyDescent="0.4">
      <c r="A20" s="59">
        <v>15</v>
      </c>
      <c r="B20" s="60">
        <v>46137</v>
      </c>
      <c r="C20" s="61" t="s">
        <v>124</v>
      </c>
      <c r="D20" s="59">
        <v>7</v>
      </c>
      <c r="E20" s="62">
        <v>2880</v>
      </c>
      <c r="F20" s="62"/>
      <c r="G20" s="19" t="s">
        <v>109</v>
      </c>
    </row>
    <row r="21" spans="1:7" ht="18" customHeight="1" x14ac:dyDescent="0.4">
      <c r="A21" s="17">
        <v>16</v>
      </c>
      <c r="B21" s="63">
        <v>46138</v>
      </c>
      <c r="C21" s="19" t="s">
        <v>125</v>
      </c>
      <c r="D21" s="17">
        <v>563</v>
      </c>
      <c r="E21" s="64">
        <v>11812</v>
      </c>
      <c r="F21" s="64"/>
      <c r="G21" s="19" t="s">
        <v>109</v>
      </c>
    </row>
    <row r="22" spans="1:7" ht="18" customHeight="1" x14ac:dyDescent="0.4">
      <c r="A22" s="59">
        <v>17</v>
      </c>
      <c r="B22" s="60">
        <v>46139</v>
      </c>
      <c r="C22" s="61" t="s">
        <v>126</v>
      </c>
      <c r="D22" s="59">
        <v>72</v>
      </c>
      <c r="E22" s="62">
        <v>612</v>
      </c>
      <c r="F22" s="62"/>
      <c r="G22" s="61"/>
    </row>
    <row r="23" spans="1:7" ht="18" customHeight="1" x14ac:dyDescent="0.4">
      <c r="A23" s="17">
        <v>18</v>
      </c>
      <c r="B23" s="63">
        <v>46142</v>
      </c>
      <c r="C23" s="19" t="s">
        <v>127</v>
      </c>
      <c r="D23" s="17">
        <v>218</v>
      </c>
      <c r="E23" s="64">
        <v>3840</v>
      </c>
      <c r="F23" s="64"/>
      <c r="G23" s="19"/>
    </row>
    <row r="24" spans="1:7" ht="18" customHeight="1" x14ac:dyDescent="0.4">
      <c r="A24" s="17" t="str">
        <f>IF(E24&lt;&gt;"",COUNTA($E$6:E24),IF(F24&lt;&gt;"",COUNTA($F$6:F24),""))</f>
        <v/>
      </c>
      <c r="B24" s="63"/>
      <c r="C24" s="19"/>
      <c r="D24" s="17"/>
      <c r="E24" s="64"/>
      <c r="F24" s="64"/>
      <c r="G24" s="19"/>
    </row>
    <row r="25" spans="1:7" ht="19.5" customHeight="1" x14ac:dyDescent="0.4">
      <c r="A25" s="16" t="s">
        <v>45</v>
      </c>
      <c r="B25" s="65"/>
      <c r="C25" s="65"/>
      <c r="D25" s="65"/>
      <c r="E25" s="66">
        <f>SUM(E6:E24)</f>
        <v>115540</v>
      </c>
      <c r="F25" s="67">
        <f>SUM(F6:F24)</f>
        <v>100000</v>
      </c>
      <c r="G25" s="68"/>
    </row>
  </sheetData>
  <mergeCells count="4">
    <mergeCell ref="A1:G1"/>
    <mergeCell ref="D2:E2"/>
    <mergeCell ref="A2:C2"/>
    <mergeCell ref="D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"/>
  <sheetViews>
    <sheetView showGridLines="0" zoomScale="42" zoomScaleNormal="42" workbookViewId="0">
      <pane ySplit="5" topLeftCell="A6" activePane="bottomLeft" state="frozen"/>
      <selection pane="bottomLeft" activeCell="C9" sqref="C9"/>
    </sheetView>
  </sheetViews>
  <sheetFormatPr defaultColWidth="8.69140625" defaultRowHeight="14.6" x14ac:dyDescent="0.4"/>
  <cols>
    <col min="1" max="1" width="11.921875" customWidth="1"/>
    <col min="2" max="2" width="20.3828125" customWidth="1"/>
    <col min="3" max="3" width="28" customWidth="1"/>
    <col min="4" max="4" width="13.61328125" customWidth="1"/>
    <col min="5" max="6" width="17" customWidth="1"/>
    <col min="7" max="7" width="28" customWidth="1"/>
  </cols>
  <sheetData>
    <row r="1" spans="1:7" ht="27.75" customHeight="1" x14ac:dyDescent="0.4">
      <c r="A1" s="84" t="s">
        <v>76</v>
      </c>
      <c r="B1" s="84"/>
      <c r="C1" s="84"/>
      <c r="D1" s="46"/>
      <c r="E1" s="46"/>
      <c r="F1" s="46"/>
      <c r="G1" s="46"/>
    </row>
    <row r="2" spans="1:7" ht="19.5" customHeight="1" x14ac:dyDescent="0.4">
      <c r="A2" s="99" t="s">
        <v>77</v>
      </c>
      <c r="B2" s="99"/>
      <c r="C2" s="33"/>
      <c r="D2" s="101" t="s">
        <v>9</v>
      </c>
      <c r="E2" s="101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COUNTA(B6:B504)</f>
        <v>4</v>
      </c>
      <c r="C3" s="49">
        <v>4480</v>
      </c>
      <c r="D3" s="50">
        <f>SUM(E6:E504)</f>
        <v>32480</v>
      </c>
      <c r="E3" s="51"/>
      <c r="F3" s="52">
        <f>SUM(F6:F504)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32480</v>
      </c>
      <c r="D4" s="57" t="s">
        <v>73</v>
      </c>
      <c r="E4" s="6"/>
      <c r="F4" s="6"/>
      <c r="G4" s="6"/>
    </row>
    <row r="5" spans="1:7" ht="19.5" customHeight="1" x14ac:dyDescent="0.4">
      <c r="A5" s="58" t="s">
        <v>107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59">
        <v>1</v>
      </c>
      <c r="B6" s="60">
        <v>46113</v>
      </c>
      <c r="C6" s="61"/>
      <c r="D6" s="59"/>
      <c r="E6" s="62">
        <v>1320</v>
      </c>
      <c r="F6" s="62"/>
      <c r="G6" s="61"/>
    </row>
    <row r="7" spans="1:7" ht="18" customHeight="1" x14ac:dyDescent="0.4">
      <c r="A7" s="59">
        <v>2</v>
      </c>
      <c r="B7" s="63">
        <v>46114</v>
      </c>
      <c r="C7" s="19"/>
      <c r="D7" s="17"/>
      <c r="E7" s="64">
        <v>2660</v>
      </c>
      <c r="F7" s="64"/>
      <c r="G7" s="19"/>
    </row>
    <row r="8" spans="1:7" ht="18" customHeight="1" x14ac:dyDescent="0.4">
      <c r="A8" s="59">
        <v>3</v>
      </c>
      <c r="B8" s="60">
        <v>46114</v>
      </c>
      <c r="C8" s="61"/>
      <c r="D8" s="59"/>
      <c r="E8" s="62">
        <v>500</v>
      </c>
      <c r="F8" s="62"/>
      <c r="G8" s="61"/>
    </row>
    <row r="9" spans="1:7" ht="18" customHeight="1" x14ac:dyDescent="0.4">
      <c r="A9" s="59">
        <v>4</v>
      </c>
      <c r="B9" s="63">
        <v>46116</v>
      </c>
      <c r="C9" s="19"/>
      <c r="D9" s="17"/>
      <c r="E9" s="64">
        <v>11760</v>
      </c>
      <c r="F9" s="64"/>
      <c r="G9" s="19"/>
    </row>
    <row r="10" spans="1:7" ht="18" customHeight="1" x14ac:dyDescent="0.4">
      <c r="A10" s="59">
        <v>5</v>
      </c>
      <c r="B10" s="60"/>
      <c r="C10" s="61"/>
      <c r="D10" s="59"/>
      <c r="E10" s="62"/>
      <c r="F10" s="62"/>
      <c r="G10" s="61"/>
    </row>
    <row r="11" spans="1:7" ht="18" customHeight="1" x14ac:dyDescent="0.4">
      <c r="A11" s="59">
        <v>6</v>
      </c>
      <c r="B11" s="63"/>
      <c r="C11" s="19"/>
      <c r="D11" s="17"/>
      <c r="E11" s="64"/>
      <c r="F11" s="64"/>
      <c r="G11" s="19"/>
    </row>
    <row r="12" spans="1:7" ht="18" customHeight="1" x14ac:dyDescent="0.4">
      <c r="A12" s="59">
        <v>7</v>
      </c>
      <c r="B12" s="60"/>
      <c r="C12" s="61"/>
      <c r="D12" s="59"/>
      <c r="E12" s="62"/>
      <c r="F12" s="62"/>
      <c r="G12" s="61"/>
    </row>
    <row r="13" spans="1:7" ht="18" customHeight="1" x14ac:dyDescent="0.4">
      <c r="A13" s="59">
        <v>8</v>
      </c>
      <c r="B13" s="63"/>
      <c r="C13" s="19"/>
      <c r="D13" s="17"/>
      <c r="E13" s="64"/>
      <c r="F13" s="64"/>
      <c r="G13" s="19"/>
    </row>
    <row r="14" spans="1:7" ht="18" customHeight="1" x14ac:dyDescent="0.4">
      <c r="A14" s="59">
        <v>9</v>
      </c>
      <c r="B14" s="60"/>
      <c r="C14" s="61"/>
      <c r="D14" s="59"/>
      <c r="E14" s="62"/>
      <c r="F14" s="62"/>
      <c r="G14" s="61"/>
    </row>
    <row r="15" spans="1:7" ht="18" customHeight="1" x14ac:dyDescent="0.4">
      <c r="A15" s="59">
        <v>10</v>
      </c>
      <c r="B15" s="63"/>
      <c r="C15" s="19"/>
      <c r="D15" s="17"/>
      <c r="E15" s="64"/>
      <c r="F15" s="64"/>
      <c r="G15" s="19"/>
    </row>
    <row r="16" spans="1:7" ht="18" customHeight="1" x14ac:dyDescent="0.4">
      <c r="A16" s="59">
        <v>11</v>
      </c>
      <c r="B16" s="60"/>
      <c r="C16" s="61"/>
      <c r="D16" s="59"/>
      <c r="E16" s="62"/>
      <c r="F16" s="62"/>
      <c r="G16" s="61"/>
    </row>
    <row r="17" spans="1:7" ht="18" customHeight="1" x14ac:dyDescent="0.4">
      <c r="A17" s="59">
        <v>12</v>
      </c>
      <c r="B17" s="63"/>
      <c r="C17" s="19"/>
      <c r="D17" s="17"/>
      <c r="E17" s="64"/>
      <c r="F17" s="64"/>
      <c r="G17" s="19"/>
    </row>
    <row r="18" spans="1:7" ht="18" customHeight="1" x14ac:dyDescent="0.4">
      <c r="A18" s="59">
        <v>13</v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>
        <v>12</v>
      </c>
      <c r="B54" s="60"/>
      <c r="C54" s="61"/>
      <c r="D54" s="59"/>
      <c r="E54" s="62"/>
      <c r="F54" s="62"/>
      <c r="G54" s="61"/>
    </row>
    <row r="55" spans="1:7" ht="18" customHeight="1" x14ac:dyDescent="0.4">
      <c r="A55" s="17">
        <v>1</v>
      </c>
      <c r="B55" s="63"/>
      <c r="C55" s="19"/>
      <c r="D55" s="17"/>
      <c r="E55" s="64"/>
      <c r="F55" s="64"/>
      <c r="G55" s="19"/>
    </row>
    <row r="56" spans="1:7" ht="18" customHeight="1" x14ac:dyDescent="0.4">
      <c r="A56" s="17"/>
      <c r="B56" s="63"/>
      <c r="C56" s="19"/>
      <c r="D56" s="17"/>
      <c r="E56" s="64"/>
      <c r="F56" s="64"/>
      <c r="G56" s="19"/>
    </row>
    <row r="57" spans="1:7" ht="18" customHeight="1" x14ac:dyDescent="0.4">
      <c r="A57" s="17"/>
      <c r="B57" s="63"/>
      <c r="C57" s="19"/>
      <c r="D57" s="17"/>
      <c r="E57" s="64"/>
      <c r="F57" s="64"/>
      <c r="G57" s="19"/>
    </row>
    <row r="58" spans="1:7" ht="18" customHeight="1" x14ac:dyDescent="0.4">
      <c r="A58" s="17"/>
      <c r="B58" s="63"/>
      <c r="C58" s="19"/>
      <c r="D58" s="17"/>
      <c r="E58" s="64"/>
      <c r="F58" s="64"/>
      <c r="G58" s="19"/>
    </row>
    <row r="59" spans="1:7" ht="18" customHeight="1" x14ac:dyDescent="0.4">
      <c r="A59" s="17"/>
      <c r="B59" s="63"/>
      <c r="C59" s="19"/>
      <c r="D59" s="17"/>
      <c r="E59" s="64"/>
      <c r="F59" s="64"/>
      <c r="G59" s="19"/>
    </row>
    <row r="60" spans="1:7" ht="19.5" customHeight="1" x14ac:dyDescent="0.4">
      <c r="A60" s="16" t="s">
        <v>45</v>
      </c>
      <c r="B60" s="65"/>
      <c r="C60" s="65"/>
      <c r="D60" s="65"/>
      <c r="E60" s="66">
        <f>SUM(E6:E55)</f>
        <v>16240</v>
      </c>
      <c r="F60" s="67">
        <f>SUM(F6:F55)</f>
        <v>0</v>
      </c>
      <c r="G60" s="68"/>
    </row>
  </sheetData>
  <mergeCells count="2">
    <mergeCell ref="A2:B2"/>
    <mergeCell ref="D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7"/>
  <sheetViews>
    <sheetView showGridLines="0" topLeftCell="B1" zoomScaleNormal="100" workbookViewId="0">
      <pane ySplit="5" topLeftCell="A6" activePane="bottomLeft" state="frozen"/>
      <selection pane="bottomLeft" activeCell="C3" sqref="C3"/>
    </sheetView>
  </sheetViews>
  <sheetFormatPr defaultColWidth="8.69140625" defaultRowHeight="14.6" x14ac:dyDescent="0.4"/>
  <cols>
    <col min="1" max="1" width="10.84375" customWidth="1"/>
    <col min="2" max="2" width="28.61328125" customWidth="1"/>
    <col min="3" max="3" width="28" customWidth="1"/>
    <col min="4" max="4" width="11.3046875" customWidth="1"/>
    <col min="5" max="6" width="17" customWidth="1"/>
    <col min="7" max="7" width="28" customWidth="1"/>
  </cols>
  <sheetData>
    <row r="1" spans="1:7" ht="27.75" customHeight="1" x14ac:dyDescent="0.4">
      <c r="A1" s="100" t="s">
        <v>78</v>
      </c>
      <c r="B1" s="100"/>
      <c r="C1" s="100"/>
      <c r="D1" s="100"/>
      <c r="E1" s="100"/>
      <c r="F1" s="100"/>
      <c r="G1" s="100"/>
    </row>
    <row r="2" spans="1:7" ht="19.5" customHeight="1" x14ac:dyDescent="0.4">
      <c r="A2" s="99" t="s">
        <v>79</v>
      </c>
      <c r="B2" s="99"/>
      <c r="C2" s="33"/>
      <c r="D2" s="101" t="s">
        <v>9</v>
      </c>
      <c r="E2" s="101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11070</v>
      </c>
      <c r="D3" s="50">
        <f>SUM(E6:E500)</f>
        <v>11070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11070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11070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29"/>
      <c r="C57" s="29"/>
      <c r="D57" s="29"/>
      <c r="E57" s="30">
        <f>SUM(E7:E56)</f>
        <v>0</v>
      </c>
      <c r="F57" s="31">
        <f>SUM(F7:F56)</f>
        <v>0</v>
      </c>
      <c r="G57" s="29"/>
    </row>
  </sheetData>
  <mergeCells count="3">
    <mergeCell ref="A2:B2"/>
    <mergeCell ref="D2:E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83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77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2298</v>
      </c>
      <c r="D3" s="50">
        <f>SUM(E6:E500)</f>
        <v>2298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2298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2298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59"/>
      <c r="F8" s="59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75"/>
      <c r="C57" s="76"/>
      <c r="D57" s="68"/>
      <c r="E57" s="66">
        <f>SUM(E7:E56)</f>
        <v>0</v>
      </c>
      <c r="F57" s="67">
        <f>SUM(F7:F56)</f>
        <v>0</v>
      </c>
      <c r="G57" s="76"/>
    </row>
    <row r="58" spans="1:7" x14ac:dyDescent="0.4">
      <c r="A58" s="77"/>
      <c r="B58" s="78"/>
      <c r="C58" s="79"/>
      <c r="D58" s="77"/>
      <c r="E58" s="80"/>
      <c r="F58" s="80"/>
      <c r="G58" s="79"/>
    </row>
    <row r="59" spans="1:7" x14ac:dyDescent="0.4">
      <c r="A59" s="77"/>
      <c r="B59" s="81"/>
      <c r="C59" s="81"/>
      <c r="D59" s="81"/>
      <c r="E59" s="82"/>
      <c r="F59" s="82"/>
      <c r="G59" s="7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8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84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85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70000</v>
      </c>
      <c r="D3" s="50">
        <f>SUM(E6:E500)</f>
        <v>28600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28600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28600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75"/>
      <c r="C57" s="76"/>
      <c r="D57" s="68"/>
      <c r="E57" s="66">
        <f>SUM(E7:E56)</f>
        <v>0</v>
      </c>
      <c r="F57" s="67">
        <f>SUM(F7:F56)</f>
        <v>0</v>
      </c>
      <c r="G57" s="76"/>
    </row>
    <row r="58" spans="1:7" x14ac:dyDescent="0.4">
      <c r="A58" s="77"/>
      <c r="B58" s="81"/>
      <c r="C58" s="81"/>
      <c r="D58" s="81"/>
      <c r="E58" s="82"/>
      <c r="F58" s="82"/>
      <c r="G58" s="7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showGridLines="0" topLeftCell="B1" zoomScaleNormal="100" workbookViewId="0">
      <pane ySplit="5" topLeftCell="A58" activePane="bottomLeft" state="frozen"/>
      <selection pane="bottomLeft" activeCell="F63" sqref="F63"/>
    </sheetView>
  </sheetViews>
  <sheetFormatPr defaultColWidth="8.69140625" defaultRowHeight="14.6" x14ac:dyDescent="0.4"/>
  <cols>
    <col min="1" max="1" width="9" customWidth="1"/>
    <col min="2" max="2" width="19.61328125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97" t="s">
        <v>86</v>
      </c>
      <c r="B1" s="97"/>
      <c r="C1" s="97"/>
      <c r="D1" s="97"/>
      <c r="E1" s="97"/>
      <c r="F1" s="97"/>
      <c r="G1" s="97"/>
    </row>
    <row r="2" spans="1:7" ht="19.5" customHeight="1" x14ac:dyDescent="0.4">
      <c r="A2" s="99" t="s">
        <v>87</v>
      </c>
      <c r="B2" s="99"/>
      <c r="C2" s="99"/>
      <c r="D2" s="98" t="s">
        <v>9</v>
      </c>
      <c r="E2" s="98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COUNTA(B6:B503)</f>
        <v>53</v>
      </c>
      <c r="C3" s="49">
        <v>211144</v>
      </c>
      <c r="D3" s="95">
        <f>SUM(E6:E503)</f>
        <v>1548820</v>
      </c>
      <c r="E3" s="96"/>
      <c r="F3" s="52">
        <f>SUM(F6:F503)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1548820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94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59">
        <v>1</v>
      </c>
      <c r="B6" s="60">
        <v>46113</v>
      </c>
      <c r="C6" s="61"/>
      <c r="D6" s="59"/>
      <c r="E6" s="93">
        <v>3062</v>
      </c>
      <c r="F6" s="62"/>
      <c r="G6" s="61"/>
    </row>
    <row r="7" spans="1:7" ht="18" customHeight="1" x14ac:dyDescent="0.4">
      <c r="A7" s="59">
        <v>2</v>
      </c>
      <c r="B7" s="60">
        <v>46114</v>
      </c>
      <c r="C7" s="19"/>
      <c r="D7" s="17"/>
      <c r="E7" s="92">
        <v>2836</v>
      </c>
      <c r="F7" s="64"/>
      <c r="G7" s="19"/>
    </row>
    <row r="8" spans="1:7" ht="18" customHeight="1" x14ac:dyDescent="0.4">
      <c r="A8" s="59">
        <v>3</v>
      </c>
      <c r="B8" s="60">
        <v>46115</v>
      </c>
      <c r="C8" s="61"/>
      <c r="D8" s="59"/>
      <c r="E8" s="93">
        <v>12390</v>
      </c>
      <c r="F8" s="62"/>
      <c r="G8" s="61"/>
    </row>
    <row r="9" spans="1:7" ht="18" customHeight="1" x14ac:dyDescent="0.4">
      <c r="A9" s="59">
        <v>4</v>
      </c>
      <c r="B9" s="60">
        <v>46116</v>
      </c>
      <c r="C9" s="19"/>
      <c r="D9" s="17"/>
      <c r="E9" s="92">
        <v>698</v>
      </c>
      <c r="F9" s="64"/>
      <c r="G9" s="19"/>
    </row>
    <row r="10" spans="1:7" ht="18" customHeight="1" x14ac:dyDescent="0.4">
      <c r="A10" s="59">
        <v>5</v>
      </c>
      <c r="B10" s="60">
        <v>46117</v>
      </c>
      <c r="C10" s="61"/>
      <c r="D10" s="59"/>
      <c r="E10" s="93">
        <v>25542</v>
      </c>
      <c r="F10" s="62"/>
      <c r="G10" s="61"/>
    </row>
    <row r="11" spans="1:7" ht="18" customHeight="1" x14ac:dyDescent="0.4">
      <c r="A11" s="59">
        <v>6</v>
      </c>
      <c r="B11" s="60">
        <v>46119</v>
      </c>
      <c r="C11" s="61"/>
      <c r="D11" s="59"/>
      <c r="E11" s="93">
        <v>698</v>
      </c>
      <c r="F11" s="62"/>
      <c r="G11" s="61"/>
    </row>
    <row r="12" spans="1:7" ht="18" customHeight="1" x14ac:dyDescent="0.4">
      <c r="A12" s="59">
        <v>7</v>
      </c>
      <c r="B12" s="60">
        <v>46120</v>
      </c>
      <c r="C12" s="19"/>
      <c r="D12" s="17"/>
      <c r="E12" s="92">
        <v>1580</v>
      </c>
      <c r="F12" s="64"/>
      <c r="G12" s="19"/>
    </row>
    <row r="13" spans="1:7" ht="18" customHeight="1" x14ac:dyDescent="0.4">
      <c r="A13" s="59">
        <v>8</v>
      </c>
      <c r="B13" s="60">
        <v>46121</v>
      </c>
      <c r="C13" s="61"/>
      <c r="D13" s="59"/>
      <c r="E13" s="93">
        <v>4090</v>
      </c>
      <c r="F13" s="62"/>
      <c r="G13" s="61"/>
    </row>
    <row r="14" spans="1:7" ht="18" customHeight="1" x14ac:dyDescent="0.4">
      <c r="A14" s="59">
        <v>9</v>
      </c>
      <c r="B14" s="60">
        <v>46122</v>
      </c>
      <c r="C14" s="19"/>
      <c r="D14" s="17"/>
      <c r="E14" s="92">
        <v>4238</v>
      </c>
      <c r="F14" s="64"/>
      <c r="G14" s="19"/>
    </row>
    <row r="15" spans="1:7" ht="18" customHeight="1" x14ac:dyDescent="0.4">
      <c r="A15" s="59">
        <v>10</v>
      </c>
      <c r="B15" s="60">
        <v>46123</v>
      </c>
      <c r="C15" s="61"/>
      <c r="D15" s="59"/>
      <c r="E15" s="93">
        <v>6930</v>
      </c>
      <c r="F15" s="62"/>
      <c r="G15" s="61"/>
    </row>
    <row r="16" spans="1:7" ht="18" customHeight="1" x14ac:dyDescent="0.4">
      <c r="A16" s="59">
        <v>11</v>
      </c>
      <c r="B16" s="60">
        <v>46123</v>
      </c>
      <c r="C16" s="61"/>
      <c r="D16" s="59"/>
      <c r="E16" s="93">
        <v>45390</v>
      </c>
      <c r="F16" s="62"/>
      <c r="G16" s="61"/>
    </row>
    <row r="17" spans="1:7" ht="18" customHeight="1" x14ac:dyDescent="0.4">
      <c r="A17" s="59">
        <v>12</v>
      </c>
      <c r="B17" s="60">
        <v>46124</v>
      </c>
      <c r="C17" s="19"/>
      <c r="D17" s="17"/>
      <c r="E17" s="92">
        <v>25120</v>
      </c>
      <c r="F17" s="64"/>
      <c r="G17" s="19"/>
    </row>
    <row r="18" spans="1:7" ht="18" customHeight="1" x14ac:dyDescent="0.4">
      <c r="A18" s="59">
        <v>13</v>
      </c>
      <c r="B18" s="60">
        <v>46125</v>
      </c>
      <c r="C18" s="61"/>
      <c r="D18" s="59"/>
      <c r="E18" s="93">
        <v>5056</v>
      </c>
      <c r="F18" s="62"/>
      <c r="G18" s="61"/>
    </row>
    <row r="19" spans="1:7" ht="18" customHeight="1" x14ac:dyDescent="0.4">
      <c r="A19" s="59">
        <v>14</v>
      </c>
      <c r="B19" s="60">
        <v>46125</v>
      </c>
      <c r="C19" s="61"/>
      <c r="D19" s="59"/>
      <c r="E19" s="93">
        <v>2002</v>
      </c>
      <c r="F19" s="62"/>
      <c r="G19" s="61"/>
    </row>
    <row r="20" spans="1:7" ht="18" customHeight="1" x14ac:dyDescent="0.4">
      <c r="A20" s="59">
        <v>15</v>
      </c>
      <c r="B20" s="60">
        <v>46126</v>
      </c>
      <c r="C20" s="19"/>
      <c r="D20" s="17"/>
      <c r="E20" s="92">
        <v>2190</v>
      </c>
      <c r="F20" s="64"/>
      <c r="G20" s="19"/>
    </row>
    <row r="21" spans="1:7" ht="18" customHeight="1" x14ac:dyDescent="0.4">
      <c r="A21" s="59">
        <v>16</v>
      </c>
      <c r="B21" s="60">
        <v>46127</v>
      </c>
      <c r="C21" s="61"/>
      <c r="D21" s="59"/>
      <c r="E21" s="93">
        <v>3290</v>
      </c>
      <c r="F21" s="62"/>
      <c r="G21" s="61"/>
    </row>
    <row r="22" spans="1:7" ht="18" customHeight="1" x14ac:dyDescent="0.4">
      <c r="A22" s="59">
        <v>17</v>
      </c>
      <c r="B22" s="60">
        <v>46127</v>
      </c>
      <c r="C22" s="61"/>
      <c r="D22" s="59"/>
      <c r="E22" s="93">
        <v>2132</v>
      </c>
      <c r="F22" s="62"/>
      <c r="G22" s="61"/>
    </row>
    <row r="23" spans="1:7" ht="18" customHeight="1" x14ac:dyDescent="0.4">
      <c r="A23" s="59">
        <v>18</v>
      </c>
      <c r="B23" s="60">
        <v>46128</v>
      </c>
      <c r="C23" s="61"/>
      <c r="D23" s="59"/>
      <c r="E23" s="93">
        <v>552</v>
      </c>
      <c r="F23" s="62"/>
      <c r="G23" s="61"/>
    </row>
    <row r="24" spans="1:7" ht="18" customHeight="1" x14ac:dyDescent="0.4">
      <c r="A24" s="59">
        <v>19</v>
      </c>
      <c r="B24" s="60">
        <v>46128</v>
      </c>
      <c r="C24" s="19"/>
      <c r="D24" s="17"/>
      <c r="E24" s="92">
        <v>2972</v>
      </c>
      <c r="F24" s="64"/>
      <c r="G24" s="19"/>
    </row>
    <row r="25" spans="1:7" ht="18" customHeight="1" x14ac:dyDescent="0.4">
      <c r="A25" s="59">
        <v>20</v>
      </c>
      <c r="B25" s="60">
        <v>46128</v>
      </c>
      <c r="C25" s="19"/>
      <c r="D25" s="17"/>
      <c r="E25" s="92">
        <v>2684</v>
      </c>
      <c r="F25" s="64"/>
      <c r="G25" s="19"/>
    </row>
    <row r="26" spans="1:7" ht="18" customHeight="1" x14ac:dyDescent="0.4">
      <c r="A26" s="59">
        <v>21</v>
      </c>
      <c r="B26" s="60">
        <v>46129</v>
      </c>
      <c r="C26" s="61"/>
      <c r="D26" s="59"/>
      <c r="E26" s="93">
        <v>1768</v>
      </c>
      <c r="F26" s="62"/>
      <c r="G26" s="61"/>
    </row>
    <row r="27" spans="1:7" ht="18" customHeight="1" x14ac:dyDescent="0.4">
      <c r="A27" s="59">
        <v>22</v>
      </c>
      <c r="B27" s="60">
        <v>46130</v>
      </c>
      <c r="C27" s="19"/>
      <c r="D27" s="17"/>
      <c r="E27" s="92">
        <v>24042</v>
      </c>
      <c r="F27" s="64"/>
      <c r="G27" s="19"/>
    </row>
    <row r="28" spans="1:7" ht="18" customHeight="1" x14ac:dyDescent="0.4">
      <c r="A28" s="59">
        <v>23</v>
      </c>
      <c r="B28" s="60">
        <v>46131</v>
      </c>
      <c r="C28" s="19"/>
      <c r="D28" s="17"/>
      <c r="E28" s="92">
        <v>28800</v>
      </c>
      <c r="F28" s="64"/>
      <c r="G28" s="19"/>
    </row>
    <row r="29" spans="1:7" ht="18" customHeight="1" x14ac:dyDescent="0.4">
      <c r="A29" s="59">
        <v>24</v>
      </c>
      <c r="B29" s="60">
        <v>46131</v>
      </c>
      <c r="C29" s="61"/>
      <c r="D29" s="59"/>
      <c r="E29" s="93">
        <v>10870</v>
      </c>
      <c r="F29" s="62"/>
      <c r="G29" s="61"/>
    </row>
    <row r="30" spans="1:7" ht="18" customHeight="1" x14ac:dyDescent="0.4">
      <c r="A30" s="59">
        <v>25</v>
      </c>
      <c r="B30" s="60">
        <v>46131</v>
      </c>
      <c r="C30" s="61"/>
      <c r="D30" s="59"/>
      <c r="E30" s="93">
        <v>3150</v>
      </c>
      <c r="F30" s="62"/>
      <c r="G30" s="61"/>
    </row>
    <row r="31" spans="1:7" ht="18" customHeight="1" x14ac:dyDescent="0.4">
      <c r="A31" s="59">
        <v>26</v>
      </c>
      <c r="B31" s="60">
        <v>46131</v>
      </c>
      <c r="C31" s="61"/>
      <c r="D31" s="59"/>
      <c r="E31" s="93">
        <v>17080</v>
      </c>
      <c r="F31" s="62"/>
      <c r="G31" s="61"/>
    </row>
    <row r="32" spans="1:7" ht="18" customHeight="1" x14ac:dyDescent="0.4">
      <c r="A32" s="59">
        <v>27</v>
      </c>
      <c r="B32" s="60">
        <v>46132</v>
      </c>
      <c r="C32" s="19"/>
      <c r="D32" s="17"/>
      <c r="E32" s="92">
        <v>3150</v>
      </c>
      <c r="F32" s="64"/>
      <c r="G32" s="19"/>
    </row>
    <row r="33" spans="1:7" ht="18" customHeight="1" x14ac:dyDescent="0.4">
      <c r="A33" s="59">
        <v>28</v>
      </c>
      <c r="B33" s="60">
        <v>46132</v>
      </c>
      <c r="C33" s="19"/>
      <c r="D33" s="17"/>
      <c r="E33" s="92">
        <v>4590</v>
      </c>
      <c r="F33" s="64"/>
      <c r="G33" s="19"/>
    </row>
    <row r="34" spans="1:7" ht="18" customHeight="1" x14ac:dyDescent="0.4">
      <c r="A34" s="59">
        <v>29</v>
      </c>
      <c r="B34" s="60">
        <v>46132</v>
      </c>
      <c r="C34" s="19"/>
      <c r="D34" s="17"/>
      <c r="E34" s="92">
        <v>34280</v>
      </c>
      <c r="F34" s="64"/>
      <c r="G34" s="19"/>
    </row>
    <row r="35" spans="1:7" ht="18" customHeight="1" x14ac:dyDescent="0.4">
      <c r="A35" s="59">
        <v>30</v>
      </c>
      <c r="B35" s="60">
        <v>46132</v>
      </c>
      <c r="C35" s="19"/>
      <c r="D35" s="17"/>
      <c r="E35" s="92">
        <v>2780</v>
      </c>
      <c r="F35" s="64"/>
      <c r="G35" s="19"/>
    </row>
    <row r="36" spans="1:7" ht="18" customHeight="1" x14ac:dyDescent="0.4">
      <c r="A36" s="59">
        <v>31</v>
      </c>
      <c r="B36" s="60">
        <v>46133</v>
      </c>
      <c r="C36" s="61"/>
      <c r="D36" s="59"/>
      <c r="E36" s="93">
        <v>6600</v>
      </c>
      <c r="F36" s="62"/>
      <c r="G36" s="61"/>
    </row>
    <row r="37" spans="1:7" ht="18" customHeight="1" x14ac:dyDescent="0.4">
      <c r="A37" s="59">
        <v>32</v>
      </c>
      <c r="B37" s="60">
        <v>46134</v>
      </c>
      <c r="C37" s="19"/>
      <c r="D37" s="17"/>
      <c r="E37" s="92">
        <v>3520</v>
      </c>
      <c r="F37" s="64"/>
      <c r="G37" s="19"/>
    </row>
    <row r="38" spans="1:7" ht="18" customHeight="1" x14ac:dyDescent="0.4">
      <c r="A38" s="59">
        <v>33</v>
      </c>
      <c r="B38" s="60">
        <v>46134</v>
      </c>
      <c r="C38" s="19"/>
      <c r="D38" s="17"/>
      <c r="E38" s="92">
        <v>7320</v>
      </c>
      <c r="F38" s="64"/>
      <c r="G38" s="19"/>
    </row>
    <row r="39" spans="1:7" ht="18" customHeight="1" x14ac:dyDescent="0.4">
      <c r="A39" s="59">
        <v>34</v>
      </c>
      <c r="B39" s="60">
        <v>46134</v>
      </c>
      <c r="C39" s="19"/>
      <c r="D39" s="17"/>
      <c r="E39" s="92">
        <v>8206</v>
      </c>
      <c r="F39" s="64"/>
      <c r="G39" s="19"/>
    </row>
    <row r="40" spans="1:7" ht="18" customHeight="1" x14ac:dyDescent="0.4">
      <c r="A40" s="59">
        <v>35</v>
      </c>
      <c r="B40" s="60">
        <v>46135</v>
      </c>
      <c r="C40" s="19"/>
      <c r="D40" s="17"/>
      <c r="E40" s="92">
        <v>3150</v>
      </c>
      <c r="F40" s="64"/>
      <c r="G40" s="19"/>
    </row>
    <row r="41" spans="1:7" ht="18" customHeight="1" x14ac:dyDescent="0.4">
      <c r="A41" s="59">
        <v>36</v>
      </c>
      <c r="B41" s="60">
        <v>46135</v>
      </c>
      <c r="C41" s="61"/>
      <c r="D41" s="59"/>
      <c r="E41" s="93">
        <v>2880</v>
      </c>
      <c r="F41" s="62"/>
      <c r="G41" s="61"/>
    </row>
    <row r="42" spans="1:7" ht="18" customHeight="1" x14ac:dyDescent="0.4">
      <c r="A42" s="59">
        <v>37</v>
      </c>
      <c r="B42" s="60">
        <v>46135</v>
      </c>
      <c r="C42" s="61"/>
      <c r="D42" s="59"/>
      <c r="E42" s="93">
        <v>2090</v>
      </c>
      <c r="F42" s="62"/>
      <c r="G42" s="61"/>
    </row>
    <row r="43" spans="1:7" ht="18" customHeight="1" x14ac:dyDescent="0.4">
      <c r="A43" s="59">
        <v>38</v>
      </c>
      <c r="B43" s="60">
        <v>46135</v>
      </c>
      <c r="C43" s="61"/>
      <c r="D43" s="59"/>
      <c r="E43" s="93">
        <v>8630</v>
      </c>
      <c r="F43" s="62"/>
      <c r="G43" s="61"/>
    </row>
    <row r="44" spans="1:7" ht="18" customHeight="1" x14ac:dyDescent="0.4">
      <c r="A44" s="59">
        <v>39</v>
      </c>
      <c r="B44" s="60">
        <v>46136</v>
      </c>
      <c r="C44" s="61"/>
      <c r="D44" s="59"/>
      <c r="E44" s="93">
        <v>1440</v>
      </c>
      <c r="F44" s="62"/>
      <c r="G44" s="61"/>
    </row>
    <row r="45" spans="1:7" ht="18" customHeight="1" x14ac:dyDescent="0.4">
      <c r="A45" s="59">
        <v>40</v>
      </c>
      <c r="B45" s="60">
        <v>46137</v>
      </c>
      <c r="C45" s="19"/>
      <c r="D45" s="17"/>
      <c r="E45" s="92">
        <v>18530</v>
      </c>
      <c r="F45" s="64"/>
      <c r="G45" s="19"/>
    </row>
    <row r="46" spans="1:7" ht="18" customHeight="1" x14ac:dyDescent="0.4">
      <c r="A46" s="59">
        <v>41</v>
      </c>
      <c r="B46" s="60">
        <v>46137</v>
      </c>
      <c r="C46" s="61"/>
      <c r="D46" s="59"/>
      <c r="E46" s="93">
        <v>33630</v>
      </c>
      <c r="F46" s="62"/>
      <c r="G46" s="61"/>
    </row>
    <row r="47" spans="1:7" ht="18" customHeight="1" x14ac:dyDescent="0.4">
      <c r="A47" s="59">
        <v>42</v>
      </c>
      <c r="B47" s="60">
        <v>46137</v>
      </c>
      <c r="C47" s="61"/>
      <c r="D47" s="59"/>
      <c r="E47" s="93">
        <v>24190</v>
      </c>
      <c r="F47" s="62"/>
      <c r="G47" s="61"/>
    </row>
    <row r="48" spans="1:7" ht="18" customHeight="1" x14ac:dyDescent="0.4">
      <c r="A48" s="59">
        <v>43</v>
      </c>
      <c r="B48" s="60">
        <v>46137</v>
      </c>
      <c r="C48" s="19"/>
      <c r="D48" s="17"/>
      <c r="E48" s="92">
        <v>2930</v>
      </c>
      <c r="F48" s="64"/>
      <c r="G48" s="19"/>
    </row>
    <row r="49" spans="1:8" ht="18" customHeight="1" x14ac:dyDescent="0.4">
      <c r="A49" s="59">
        <v>44</v>
      </c>
      <c r="B49" s="60">
        <v>46138</v>
      </c>
      <c r="C49" s="19"/>
      <c r="D49" s="17"/>
      <c r="E49" s="92">
        <v>3000</v>
      </c>
      <c r="F49" s="64"/>
      <c r="G49" s="19"/>
    </row>
    <row r="50" spans="1:8" ht="18" customHeight="1" x14ac:dyDescent="0.4">
      <c r="A50" s="59">
        <v>45</v>
      </c>
      <c r="B50" s="60">
        <v>46138</v>
      </c>
      <c r="C50" s="19"/>
      <c r="D50" s="17"/>
      <c r="E50" s="92">
        <v>3672</v>
      </c>
      <c r="F50" s="64"/>
      <c r="G50" s="19"/>
    </row>
    <row r="51" spans="1:8" ht="18" customHeight="1" x14ac:dyDescent="0.4">
      <c r="A51" s="59">
        <v>46</v>
      </c>
      <c r="B51" s="60">
        <v>46138</v>
      </c>
      <c r="C51" s="19"/>
      <c r="D51" s="17"/>
      <c r="E51" s="92">
        <v>3520</v>
      </c>
      <c r="F51" s="64"/>
      <c r="G51" s="19"/>
    </row>
    <row r="52" spans="1:8" ht="18" customHeight="1" x14ac:dyDescent="0.4">
      <c r="A52" s="59">
        <v>47</v>
      </c>
      <c r="B52" s="60">
        <v>46138</v>
      </c>
      <c r="C52" s="19"/>
      <c r="D52" s="17"/>
      <c r="E52" s="92">
        <v>33484</v>
      </c>
      <c r="F52" s="64"/>
      <c r="G52" s="19"/>
    </row>
    <row r="53" spans="1:8" ht="18" customHeight="1" x14ac:dyDescent="0.4">
      <c r="A53" s="59">
        <v>48</v>
      </c>
      <c r="B53" s="60">
        <v>46139</v>
      </c>
      <c r="C53" s="19"/>
      <c r="D53" s="17"/>
      <c r="E53" s="92">
        <v>3210</v>
      </c>
      <c r="F53" s="64"/>
      <c r="G53" s="19"/>
    </row>
    <row r="54" spans="1:8" ht="18" customHeight="1" x14ac:dyDescent="0.4">
      <c r="A54" s="59">
        <v>49</v>
      </c>
      <c r="B54" s="60">
        <v>46140</v>
      </c>
      <c r="C54" s="19"/>
      <c r="D54" s="17"/>
      <c r="E54" s="92">
        <v>189418</v>
      </c>
      <c r="F54" s="64"/>
      <c r="G54" s="19"/>
    </row>
    <row r="55" spans="1:8" ht="18" customHeight="1" x14ac:dyDescent="0.4">
      <c r="A55" s="59">
        <v>50</v>
      </c>
      <c r="B55" s="60">
        <v>46140</v>
      </c>
      <c r="C55" s="61"/>
      <c r="D55" s="59"/>
      <c r="E55" s="93">
        <v>6950</v>
      </c>
      <c r="F55" s="62"/>
      <c r="G55" s="61"/>
    </row>
    <row r="56" spans="1:8" ht="18" customHeight="1" x14ac:dyDescent="0.4">
      <c r="A56" s="59">
        <v>51</v>
      </c>
      <c r="B56" s="60">
        <v>46141</v>
      </c>
      <c r="C56" s="19"/>
      <c r="D56" s="17"/>
      <c r="E56" s="92">
        <v>105860</v>
      </c>
      <c r="F56" s="64"/>
      <c r="G56" s="19"/>
    </row>
    <row r="57" spans="1:8" ht="18" customHeight="1" x14ac:dyDescent="0.4">
      <c r="A57" s="59">
        <v>52</v>
      </c>
      <c r="B57" s="60">
        <v>46141</v>
      </c>
      <c r="C57" s="61"/>
      <c r="D57" s="59"/>
      <c r="E57" s="93">
        <v>10950</v>
      </c>
      <c r="F57" s="62"/>
      <c r="G57" s="61"/>
    </row>
    <row r="58" spans="1:8" ht="18" customHeight="1" x14ac:dyDescent="0.4">
      <c r="A58" s="59">
        <v>53</v>
      </c>
      <c r="B58" s="60">
        <v>46142</v>
      </c>
      <c r="C58" s="19"/>
      <c r="D58" s="17"/>
      <c r="E58" s="92">
        <v>7268</v>
      </c>
      <c r="F58" s="64"/>
      <c r="G58" s="19"/>
    </row>
    <row r="59" spans="1:8" ht="19.5" customHeight="1" x14ac:dyDescent="0.4">
      <c r="A59" s="16" t="s">
        <v>45</v>
      </c>
      <c r="B59" s="65"/>
      <c r="C59" s="65"/>
      <c r="D59" s="65"/>
      <c r="E59" s="66">
        <f>SUM(E6:E58)</f>
        <v>774410</v>
      </c>
      <c r="F59" s="67">
        <f>SUM(F6:F58)</f>
        <v>0</v>
      </c>
      <c r="G59" s="68"/>
    </row>
    <row r="63" spans="1:8" x14ac:dyDescent="0.4">
      <c r="H63" s="86"/>
    </row>
  </sheetData>
  <mergeCells count="4">
    <mergeCell ref="D3:E3"/>
    <mergeCell ref="A1:G1"/>
    <mergeCell ref="D2:E2"/>
    <mergeCell ref="A2:C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9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88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77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36508</v>
      </c>
      <c r="D3" s="50">
        <f>SUM(E6:E500)</f>
        <v>35408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35408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35408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59"/>
      <c r="F8" s="59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75"/>
      <c r="C57" s="76"/>
      <c r="D57" s="68"/>
      <c r="E57" s="66">
        <f>SUM(E7:E56)</f>
        <v>0</v>
      </c>
      <c r="F57" s="67">
        <f>SUM(F7:F56)</f>
        <v>0</v>
      </c>
      <c r="G57" s="76"/>
    </row>
    <row r="58" spans="1:7" x14ac:dyDescent="0.4">
      <c r="A58" s="77"/>
      <c r="B58" s="78"/>
      <c r="C58" s="79"/>
      <c r="D58" s="77"/>
      <c r="E58" s="80"/>
      <c r="F58" s="80"/>
      <c r="G58" s="79"/>
    </row>
    <row r="59" spans="1:7" x14ac:dyDescent="0.4">
      <c r="A59" s="77"/>
      <c r="B59" s="81"/>
      <c r="C59" s="81"/>
      <c r="D59" s="81"/>
      <c r="E59" s="82"/>
      <c r="F59" s="82"/>
      <c r="G59" s="7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89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90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208552</v>
      </c>
      <c r="D3" s="50">
        <f>SUM(E6:E500)</f>
        <v>142172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142172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142172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17"/>
      <c r="F19" s="17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75"/>
      <c r="C57" s="76"/>
      <c r="D57" s="68"/>
      <c r="E57" s="66">
        <f>SUM(E7:E56)</f>
        <v>0</v>
      </c>
      <c r="F57" s="67">
        <f>SUM(F7:F56)</f>
        <v>0</v>
      </c>
      <c r="G57" s="76"/>
    </row>
    <row r="58" spans="1:7" x14ac:dyDescent="0.4">
      <c r="A58" s="77"/>
      <c r="B58" s="78"/>
      <c r="C58" s="79"/>
      <c r="D58" s="77"/>
      <c r="E58" s="80"/>
      <c r="F58" s="80"/>
      <c r="G58" s="79"/>
    </row>
    <row r="59" spans="1:7" x14ac:dyDescent="0.4">
      <c r="A59" s="77"/>
      <c r="B59" s="78"/>
      <c r="C59" s="79"/>
      <c r="D59" s="77"/>
      <c r="E59" s="80"/>
      <c r="F59" s="80"/>
      <c r="G59" s="79"/>
    </row>
    <row r="60" spans="1:7" x14ac:dyDescent="0.4">
      <c r="A60" s="77"/>
      <c r="B60" s="78"/>
      <c r="C60" s="79"/>
      <c r="D60" s="77"/>
      <c r="E60" s="80"/>
      <c r="F60" s="80"/>
      <c r="G60" s="79"/>
    </row>
    <row r="61" spans="1:7" x14ac:dyDescent="0.4">
      <c r="A61" s="77"/>
      <c r="B61" s="78"/>
      <c r="C61" s="79"/>
      <c r="D61" s="77"/>
      <c r="E61" s="80"/>
      <c r="F61" s="80"/>
      <c r="G61" s="79"/>
    </row>
    <row r="62" spans="1:7" x14ac:dyDescent="0.4">
      <c r="A62" s="77"/>
      <c r="B62" s="78"/>
      <c r="C62" s="79"/>
      <c r="D62" s="77"/>
      <c r="E62" s="80"/>
      <c r="F62" s="80"/>
      <c r="G62" s="79"/>
    </row>
    <row r="63" spans="1:7" x14ac:dyDescent="0.4">
      <c r="A63" s="77"/>
      <c r="B63" s="78"/>
      <c r="C63" s="79"/>
      <c r="D63" s="77"/>
      <c r="E63" s="80"/>
      <c r="F63" s="80"/>
      <c r="G63" s="79"/>
    </row>
    <row r="64" spans="1:7" x14ac:dyDescent="0.4">
      <c r="A64" s="77"/>
      <c r="B64" s="78"/>
      <c r="C64" s="79"/>
      <c r="D64" s="77"/>
      <c r="E64" s="80"/>
      <c r="F64" s="80"/>
      <c r="G64" s="79"/>
    </row>
    <row r="65" spans="1:7" x14ac:dyDescent="0.4">
      <c r="A65" s="77"/>
      <c r="B65" s="78"/>
      <c r="C65" s="79"/>
      <c r="D65" s="77"/>
      <c r="E65" s="80"/>
      <c r="F65" s="80"/>
      <c r="G65" s="79"/>
    </row>
    <row r="66" spans="1:7" x14ac:dyDescent="0.4">
      <c r="A66" s="77"/>
      <c r="B66" s="78"/>
      <c r="C66" s="79"/>
      <c r="D66" s="77"/>
      <c r="E66" s="80"/>
      <c r="F66" s="80"/>
      <c r="G66" s="79"/>
    </row>
    <row r="67" spans="1:7" x14ac:dyDescent="0.4">
      <c r="A67" s="77"/>
      <c r="B67" s="78"/>
      <c r="C67" s="79"/>
      <c r="D67" s="77"/>
      <c r="E67" s="80"/>
      <c r="F67" s="80"/>
      <c r="G67" s="79"/>
    </row>
    <row r="68" spans="1:7" x14ac:dyDescent="0.4">
      <c r="A68" s="77"/>
      <c r="B68" s="78"/>
      <c r="C68" s="79"/>
      <c r="D68" s="77"/>
      <c r="E68" s="80"/>
      <c r="F68" s="80"/>
      <c r="G68" s="79"/>
    </row>
    <row r="69" spans="1:7" x14ac:dyDescent="0.4">
      <c r="A69" s="77"/>
      <c r="B69" s="78"/>
      <c r="C69" s="79"/>
      <c r="D69" s="77"/>
      <c r="E69" s="80"/>
      <c r="F69" s="80"/>
      <c r="G69" s="79"/>
    </row>
    <row r="70" spans="1:7" x14ac:dyDescent="0.4">
      <c r="A70" s="77"/>
      <c r="B70" s="81"/>
      <c r="C70" s="81"/>
      <c r="D70" s="81"/>
      <c r="E70" s="82"/>
      <c r="F70" s="82"/>
      <c r="G70" s="7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91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70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4560</v>
      </c>
      <c r="D3" s="50">
        <f>SUM(E6:E500)</f>
        <v>4560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4560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4560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29"/>
      <c r="C57" s="29"/>
      <c r="D57" s="29"/>
      <c r="E57" s="30">
        <f>SUM(E7:E56)</f>
        <v>0</v>
      </c>
      <c r="F57" s="31">
        <f>SUM(F7:F56)</f>
        <v>0</v>
      </c>
      <c r="G57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6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92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93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0</v>
      </c>
      <c r="C3" s="49">
        <v>0</v>
      </c>
      <c r="D3" s="50">
        <f>SUM(E6:E500)</f>
        <v>0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59" t="str">
        <f>IF(E6&lt;&gt;"",COUNTA($E$6:E6),IF(F6&lt;&gt;"",COUNTA($F$6:F6),""))</f>
        <v/>
      </c>
      <c r="B6" s="60"/>
      <c r="C6" s="61"/>
      <c r="D6" s="59"/>
      <c r="E6" s="62"/>
      <c r="F6" s="62"/>
      <c r="G6" s="61"/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9.5" customHeight="1" x14ac:dyDescent="0.4">
      <c r="A56" s="16" t="s">
        <v>45</v>
      </c>
      <c r="B56" s="65"/>
      <c r="C56" s="65"/>
      <c r="D56" s="65"/>
      <c r="E56" s="66">
        <f>SUM(E6:E55)</f>
        <v>0</v>
      </c>
      <c r="F56" s="67">
        <f>SUM(F6:F55)</f>
        <v>0</v>
      </c>
      <c r="G56" s="6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3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94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95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90479</v>
      </c>
      <c r="D3" s="50">
        <f>SUM(E6:E500)</f>
        <v>46636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46636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46636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59"/>
      <c r="F12" s="59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75"/>
      <c r="C57" s="76"/>
      <c r="D57" s="68"/>
      <c r="E57" s="66">
        <f>SUM(E7:E56)</f>
        <v>0</v>
      </c>
      <c r="F57" s="67">
        <f>SUM(F7:F56)</f>
        <v>0</v>
      </c>
      <c r="G57" s="76"/>
    </row>
    <row r="58" spans="1:7" x14ac:dyDescent="0.4">
      <c r="A58" s="77"/>
      <c r="B58" s="78"/>
      <c r="C58" s="79"/>
      <c r="D58" s="77"/>
      <c r="E58" s="80"/>
      <c r="F58" s="80"/>
      <c r="G58" s="79"/>
    </row>
    <row r="59" spans="1:7" x14ac:dyDescent="0.4">
      <c r="A59" s="77"/>
      <c r="B59" s="78"/>
      <c r="C59" s="79"/>
      <c r="D59" s="77"/>
      <c r="E59" s="80"/>
      <c r="F59" s="80"/>
      <c r="G59" s="79"/>
    </row>
    <row r="60" spans="1:7" x14ac:dyDescent="0.4">
      <c r="A60" s="77"/>
      <c r="B60" s="78"/>
      <c r="C60" s="79"/>
      <c r="D60" s="77"/>
      <c r="E60" s="80"/>
      <c r="F60" s="80"/>
      <c r="G60" s="79"/>
    </row>
    <row r="61" spans="1:7" x14ac:dyDescent="0.4">
      <c r="A61" s="77"/>
      <c r="B61" s="78"/>
      <c r="C61" s="79"/>
      <c r="D61" s="77"/>
      <c r="E61" s="80"/>
      <c r="F61" s="80"/>
      <c r="G61" s="79"/>
    </row>
    <row r="62" spans="1:7" x14ac:dyDescent="0.4">
      <c r="A62" s="77"/>
      <c r="B62" s="78"/>
      <c r="C62" s="79"/>
      <c r="D62" s="77"/>
      <c r="E62" s="80"/>
      <c r="F62" s="80"/>
      <c r="G62" s="79"/>
    </row>
    <row r="63" spans="1:7" x14ac:dyDescent="0.4">
      <c r="A63" s="77"/>
      <c r="B63" s="81"/>
      <c r="C63" s="81"/>
      <c r="D63" s="81"/>
      <c r="E63" s="82"/>
      <c r="F63" s="82"/>
      <c r="G63" s="7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6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96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77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0</v>
      </c>
      <c r="C3" s="49">
        <f>SUM(E6:E1000)</f>
        <v>0</v>
      </c>
      <c r="D3" s="50">
        <f>SUM(E6:E500)</f>
        <v>0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59" t="str">
        <f>IF(E6&lt;&gt;"",COUNTA($E$6:E6),IF(F6&lt;&gt;"",COUNTA($F$6:F6),""))</f>
        <v/>
      </c>
      <c r="B6" s="60"/>
      <c r="C6" s="61"/>
      <c r="D6" s="59"/>
      <c r="E6" s="62"/>
      <c r="F6" s="62"/>
      <c r="G6" s="61"/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9.5" customHeight="1" x14ac:dyDescent="0.4">
      <c r="A56" s="16" t="s">
        <v>45</v>
      </c>
      <c r="B56" s="65"/>
      <c r="C56" s="65"/>
      <c r="D56" s="65"/>
      <c r="E56" s="66">
        <f>SUM(E6:E55)</f>
        <v>0</v>
      </c>
      <c r="F56" s="67">
        <f>SUM(F6:F55)</f>
        <v>0</v>
      </c>
      <c r="G56" s="6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97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95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1650</v>
      </c>
      <c r="D3" s="50">
        <f>SUM(E6:E500)</f>
        <v>0</v>
      </c>
      <c r="E3" s="51"/>
      <c r="F3" s="52">
        <f>SUM(F6:F500)</f>
        <v>9350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-9350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3"/>
      <c r="F6" s="83">
        <v>9350</v>
      </c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29"/>
      <c r="C57" s="29"/>
      <c r="D57" s="29"/>
      <c r="E57" s="30">
        <f>SUM(E7:E56)</f>
        <v>0</v>
      </c>
      <c r="F57" s="31">
        <f>SUM(F7:F56)</f>
        <v>0</v>
      </c>
      <c r="G57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98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70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16155</v>
      </c>
      <c r="D3" s="50">
        <f>SUM(E6:E500)</f>
        <v>15855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15855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15855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29"/>
      <c r="C57" s="29"/>
      <c r="D57" s="29"/>
      <c r="E57" s="30">
        <f>SUM(E7:E56)</f>
        <v>0</v>
      </c>
      <c r="F57" s="31">
        <f>SUM(F7:F56)</f>
        <v>0</v>
      </c>
      <c r="G57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99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90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153752</v>
      </c>
      <c r="D3" s="50">
        <f>SUM(E6:E500)</f>
        <v>153752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153752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153752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29"/>
      <c r="C57" s="29"/>
      <c r="D57" s="29"/>
      <c r="E57" s="30">
        <f>SUM(E7:E56)</f>
        <v>0</v>
      </c>
      <c r="F57" s="31">
        <f>SUM(F7:F56)</f>
        <v>0</v>
      </c>
      <c r="G57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100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90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111100</v>
      </c>
      <c r="D3" s="50">
        <f>SUM(E6:E500)</f>
        <v>0</v>
      </c>
      <c r="E3" s="51"/>
      <c r="F3" s="52">
        <f>SUM(F6:F500)</f>
        <v>100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-100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3"/>
      <c r="F6" s="83">
        <v>100</v>
      </c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29"/>
      <c r="C57" s="29"/>
      <c r="D57" s="29"/>
      <c r="E57" s="30">
        <f>SUM(E7:E56)</f>
        <v>0</v>
      </c>
      <c r="F57" s="31">
        <f>SUM(F7:F56)</f>
        <v>0</v>
      </c>
      <c r="G57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6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101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93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0</v>
      </c>
      <c r="C3" s="49">
        <f>SUM(E6:E1000)</f>
        <v>0</v>
      </c>
      <c r="D3" s="50">
        <f>SUM(E6:E500)</f>
        <v>0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59" t="str">
        <f>IF(E6&lt;&gt;"",COUNTA($E$6:E6),IF(F6&lt;&gt;"",COUNTA($F$6:F6),""))</f>
        <v/>
      </c>
      <c r="B6" s="60"/>
      <c r="C6" s="61"/>
      <c r="D6" s="59"/>
      <c r="E6" s="62"/>
      <c r="F6" s="62"/>
      <c r="G6" s="61"/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9.5" customHeight="1" x14ac:dyDescent="0.4">
      <c r="A56" s="16" t="s">
        <v>45</v>
      </c>
      <c r="B56" s="65"/>
      <c r="C56" s="65"/>
      <c r="D56" s="65"/>
      <c r="E56" s="66">
        <f>SUM(E6:E55)</f>
        <v>0</v>
      </c>
      <c r="F56" s="67">
        <f>SUM(F6:F55)</f>
        <v>0</v>
      </c>
      <c r="G56" s="6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6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102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103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0</v>
      </c>
      <c r="C3" s="49">
        <v>27737</v>
      </c>
      <c r="D3" s="50">
        <f>SUM(E6:E500)</f>
        <v>0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59" t="str">
        <f>IF(E6&lt;&gt;"",COUNTA($E$6:E6),IF(F6&lt;&gt;"",COUNTA($F$6:F6),""))</f>
        <v/>
      </c>
      <c r="B6" s="60"/>
      <c r="C6" s="61"/>
      <c r="D6" s="59"/>
      <c r="E6" s="62"/>
      <c r="F6" s="62"/>
      <c r="G6" s="61"/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9.5" customHeight="1" x14ac:dyDescent="0.4">
      <c r="A56" s="16" t="s">
        <v>45</v>
      </c>
      <c r="B56" s="65"/>
      <c r="C56" s="65"/>
      <c r="D56" s="65"/>
      <c r="E56" s="66">
        <f>SUM(E6:E55)</f>
        <v>0</v>
      </c>
      <c r="F56" s="67">
        <f>SUM(F6:F55)</f>
        <v>0</v>
      </c>
      <c r="G56" s="6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9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104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103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1</v>
      </c>
      <c r="C3" s="49">
        <v>43200</v>
      </c>
      <c r="D3" s="50">
        <f>SUM(E6:E500)</f>
        <v>42400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42400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69" t="s">
        <v>80</v>
      </c>
      <c r="B6" s="70" t="s">
        <v>81</v>
      </c>
      <c r="C6" s="71"/>
      <c r="D6" s="71"/>
      <c r="E6" s="72">
        <v>42400</v>
      </c>
      <c r="F6" s="73"/>
      <c r="G6" s="74" t="s">
        <v>82</v>
      </c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59"/>
      <c r="F8" s="59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8" customHeight="1" x14ac:dyDescent="0.4">
      <c r="A56" s="59" t="str">
        <f>IF(E56&lt;&gt;"",COUNTA($E$6:E56),IF(F56&lt;&gt;"",COUNTA($F$6:F56),""))</f>
        <v/>
      </c>
      <c r="B56" s="60"/>
      <c r="C56" s="61"/>
      <c r="D56" s="59"/>
      <c r="E56" s="62"/>
      <c r="F56" s="62"/>
      <c r="G56" s="61"/>
    </row>
    <row r="57" spans="1:7" ht="19.5" customHeight="1" x14ac:dyDescent="0.4">
      <c r="A57" s="16" t="s">
        <v>45</v>
      </c>
      <c r="B57" s="75"/>
      <c r="C57" s="76"/>
      <c r="D57" s="68"/>
      <c r="E57" s="66">
        <f>SUM(E7:E56)</f>
        <v>0</v>
      </c>
      <c r="F57" s="67">
        <f>SUM(F7:F56)</f>
        <v>0</v>
      </c>
      <c r="G57" s="76"/>
    </row>
    <row r="58" spans="1:7" x14ac:dyDescent="0.4">
      <c r="A58" s="77"/>
      <c r="B58" s="78"/>
      <c r="C58" s="79"/>
      <c r="D58" s="77"/>
      <c r="E58" s="80"/>
      <c r="F58" s="80"/>
      <c r="G58" s="79"/>
    </row>
    <row r="59" spans="1:7" x14ac:dyDescent="0.4">
      <c r="A59" s="77"/>
      <c r="B59" s="81"/>
      <c r="C59" s="81"/>
      <c r="D59" s="81"/>
      <c r="E59" s="82"/>
      <c r="F59" s="82"/>
      <c r="G59" s="7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6"/>
  <sheetViews>
    <sheetView tabSelected="1" zoomScaleNormal="100" workbookViewId="0"/>
  </sheetViews>
  <sheetFormatPr defaultColWidth="8.69140625" defaultRowHeight="14.6" x14ac:dyDescent="0.4"/>
  <cols>
    <col min="1" max="1" width="5" customWidth="1"/>
    <col min="2" max="2" width="14" customWidth="1"/>
    <col min="3" max="3" width="28" customWidth="1"/>
    <col min="4" max="4" width="8" customWidth="1"/>
    <col min="5" max="6" width="17" customWidth="1"/>
    <col min="7" max="7" width="28" customWidth="1"/>
  </cols>
  <sheetData>
    <row r="1" spans="1:7" ht="27.75" customHeight="1" x14ac:dyDescent="0.4">
      <c r="A1" s="46" t="s">
        <v>105</v>
      </c>
      <c r="B1" s="46"/>
      <c r="C1" s="46"/>
      <c r="D1" s="46"/>
      <c r="E1" s="46"/>
      <c r="F1" s="46"/>
      <c r="G1" s="46"/>
    </row>
    <row r="2" spans="1:7" ht="19.5" customHeight="1" x14ac:dyDescent="0.4">
      <c r="A2" s="33" t="s">
        <v>106</v>
      </c>
      <c r="B2" s="33"/>
      <c r="C2" s="33"/>
      <c r="D2" s="7" t="s">
        <v>9</v>
      </c>
      <c r="E2" s="7"/>
      <c r="F2" s="8" t="s">
        <v>10</v>
      </c>
      <c r="G2" s="8"/>
    </row>
    <row r="3" spans="1:7" ht="27.75" customHeight="1" x14ac:dyDescent="0.4">
      <c r="A3" s="47" t="s">
        <v>45</v>
      </c>
      <c r="B3" s="48">
        <f>COUNTA(B6:B500)</f>
        <v>0</v>
      </c>
      <c r="C3" s="49">
        <v>0</v>
      </c>
      <c r="D3" s="50">
        <f>SUM(E6:E500)</f>
        <v>0</v>
      </c>
      <c r="E3" s="51"/>
      <c r="F3" s="52">
        <f>SUM(F6:F500)</f>
        <v>0</v>
      </c>
      <c r="G3" s="53"/>
    </row>
    <row r="4" spans="1:7" ht="19.5" customHeight="1" x14ac:dyDescent="0.4">
      <c r="A4" s="54" t="s">
        <v>71</v>
      </c>
      <c r="B4" s="55" t="s">
        <v>72</v>
      </c>
      <c r="C4" s="56">
        <f>D3-F3</f>
        <v>0</v>
      </c>
      <c r="D4" s="57" t="s">
        <v>73</v>
      </c>
      <c r="E4" s="6"/>
      <c r="F4" s="6"/>
      <c r="G4" s="6"/>
    </row>
    <row r="5" spans="1:7" ht="19.5" customHeight="1" x14ac:dyDescent="0.4">
      <c r="A5" s="58" t="s">
        <v>6</v>
      </c>
      <c r="B5" s="58" t="s">
        <v>38</v>
      </c>
      <c r="C5" s="58" t="s">
        <v>74</v>
      </c>
      <c r="D5" s="58" t="s">
        <v>75</v>
      </c>
      <c r="E5" s="58" t="s">
        <v>9</v>
      </c>
      <c r="F5" s="58" t="s">
        <v>10</v>
      </c>
      <c r="G5" s="58" t="s">
        <v>50</v>
      </c>
    </row>
    <row r="6" spans="1:7" ht="18" customHeight="1" x14ac:dyDescent="0.4">
      <c r="A6" s="59" t="str">
        <f>IF(E6&lt;&gt;"",COUNTA($E$6:E6),IF(F6&lt;&gt;"",COUNTA($F$6:F6),""))</f>
        <v/>
      </c>
      <c r="B6" s="60"/>
      <c r="C6" s="61"/>
      <c r="D6" s="59"/>
      <c r="E6" s="62"/>
      <c r="F6" s="62"/>
      <c r="G6" s="61"/>
    </row>
    <row r="7" spans="1:7" ht="18" customHeight="1" x14ac:dyDescent="0.4">
      <c r="A7" s="17" t="str">
        <f>IF(E7&lt;&gt;"",COUNTA($E$6:E7),IF(F7&lt;&gt;"",COUNTA($F$6:F7),""))</f>
        <v/>
      </c>
      <c r="B7" s="63"/>
      <c r="C7" s="19"/>
      <c r="D7" s="17"/>
      <c r="E7" s="64"/>
      <c r="F7" s="64"/>
      <c r="G7" s="19"/>
    </row>
    <row r="8" spans="1:7" ht="18" customHeight="1" x14ac:dyDescent="0.4">
      <c r="A8" s="59" t="str">
        <f>IF(E8&lt;&gt;"",COUNTA($E$6:E8),IF(F8&lt;&gt;"",COUNTA($F$6:F8),""))</f>
        <v/>
      </c>
      <c r="B8" s="60"/>
      <c r="C8" s="61"/>
      <c r="D8" s="59"/>
      <c r="E8" s="62"/>
      <c r="F8" s="62"/>
      <c r="G8" s="61"/>
    </row>
    <row r="9" spans="1:7" ht="18" customHeight="1" x14ac:dyDescent="0.4">
      <c r="A9" s="17" t="str">
        <f>IF(E9&lt;&gt;"",COUNTA($E$6:E9),IF(F9&lt;&gt;"",COUNTA($F$6:F9),""))</f>
        <v/>
      </c>
      <c r="B9" s="63"/>
      <c r="C9" s="19"/>
      <c r="D9" s="17"/>
      <c r="E9" s="64"/>
      <c r="F9" s="64"/>
      <c r="G9" s="19"/>
    </row>
    <row r="10" spans="1:7" ht="18" customHeight="1" x14ac:dyDescent="0.4">
      <c r="A10" s="59" t="str">
        <f>IF(E10&lt;&gt;"",COUNTA($E$6:E10),IF(F10&lt;&gt;"",COUNTA($F$6:F10),""))</f>
        <v/>
      </c>
      <c r="B10" s="60"/>
      <c r="C10" s="61"/>
      <c r="D10" s="59"/>
      <c r="E10" s="62"/>
      <c r="F10" s="62"/>
      <c r="G10" s="61"/>
    </row>
    <row r="11" spans="1:7" ht="18" customHeight="1" x14ac:dyDescent="0.4">
      <c r="A11" s="17" t="str">
        <f>IF(E11&lt;&gt;"",COUNTA($E$6:E11),IF(F11&lt;&gt;"",COUNTA($F$6:F11),""))</f>
        <v/>
      </c>
      <c r="B11" s="63"/>
      <c r="C11" s="19"/>
      <c r="D11" s="17"/>
      <c r="E11" s="64"/>
      <c r="F11" s="64"/>
      <c r="G11" s="19"/>
    </row>
    <row r="12" spans="1:7" ht="18" customHeight="1" x14ac:dyDescent="0.4">
      <c r="A12" s="59" t="str">
        <f>IF(E12&lt;&gt;"",COUNTA($E$6:E12),IF(F12&lt;&gt;"",COUNTA($F$6:F12),""))</f>
        <v/>
      </c>
      <c r="B12" s="60"/>
      <c r="C12" s="61"/>
      <c r="D12" s="59"/>
      <c r="E12" s="62"/>
      <c r="F12" s="62"/>
      <c r="G12" s="61"/>
    </row>
    <row r="13" spans="1:7" ht="18" customHeight="1" x14ac:dyDescent="0.4">
      <c r="A13" s="17" t="str">
        <f>IF(E13&lt;&gt;"",COUNTA($E$6:E13),IF(F13&lt;&gt;"",COUNTA($F$6:F13),""))</f>
        <v/>
      </c>
      <c r="B13" s="63"/>
      <c r="C13" s="19"/>
      <c r="D13" s="17"/>
      <c r="E13" s="64"/>
      <c r="F13" s="64"/>
      <c r="G13" s="19"/>
    </row>
    <row r="14" spans="1:7" ht="18" customHeight="1" x14ac:dyDescent="0.4">
      <c r="A14" s="59" t="str">
        <f>IF(E14&lt;&gt;"",COUNTA($E$6:E14),IF(F14&lt;&gt;"",COUNTA($F$6:F14),""))</f>
        <v/>
      </c>
      <c r="B14" s="60"/>
      <c r="C14" s="61"/>
      <c r="D14" s="59"/>
      <c r="E14" s="62"/>
      <c r="F14" s="62"/>
      <c r="G14" s="61"/>
    </row>
    <row r="15" spans="1:7" ht="18" customHeight="1" x14ac:dyDescent="0.4">
      <c r="A15" s="17" t="str">
        <f>IF(E15&lt;&gt;"",COUNTA($E$6:E15),IF(F15&lt;&gt;"",COUNTA($F$6:F15),""))</f>
        <v/>
      </c>
      <c r="B15" s="63"/>
      <c r="C15" s="19"/>
      <c r="D15" s="17"/>
      <c r="E15" s="64"/>
      <c r="F15" s="64"/>
      <c r="G15" s="19"/>
    </row>
    <row r="16" spans="1:7" ht="18" customHeight="1" x14ac:dyDescent="0.4">
      <c r="A16" s="59" t="str">
        <f>IF(E16&lt;&gt;"",COUNTA($E$6:E16),IF(F16&lt;&gt;"",COUNTA($F$6:F16),""))</f>
        <v/>
      </c>
      <c r="B16" s="60"/>
      <c r="C16" s="61"/>
      <c r="D16" s="59"/>
      <c r="E16" s="62"/>
      <c r="F16" s="62"/>
      <c r="G16" s="61"/>
    </row>
    <row r="17" spans="1:7" ht="18" customHeight="1" x14ac:dyDescent="0.4">
      <c r="A17" s="17" t="str">
        <f>IF(E17&lt;&gt;"",COUNTA($E$6:E17),IF(F17&lt;&gt;"",COUNTA($F$6:F17),""))</f>
        <v/>
      </c>
      <c r="B17" s="63"/>
      <c r="C17" s="19"/>
      <c r="D17" s="17"/>
      <c r="E17" s="64"/>
      <c r="F17" s="64"/>
      <c r="G17" s="19"/>
    </row>
    <row r="18" spans="1:7" ht="18" customHeight="1" x14ac:dyDescent="0.4">
      <c r="A18" s="59" t="str">
        <f>IF(E18&lt;&gt;"",COUNTA($E$6:E18),IF(F18&lt;&gt;"",COUNTA($F$6:F18),""))</f>
        <v/>
      </c>
      <c r="B18" s="60"/>
      <c r="C18" s="61"/>
      <c r="D18" s="59"/>
      <c r="E18" s="62"/>
      <c r="F18" s="62"/>
      <c r="G18" s="61"/>
    </row>
    <row r="19" spans="1:7" ht="18" customHeight="1" x14ac:dyDescent="0.4">
      <c r="A19" s="17" t="str">
        <f>IF(E19&lt;&gt;"",COUNTA($E$6:E19),IF(F19&lt;&gt;"",COUNTA($F$6:F19),""))</f>
        <v/>
      </c>
      <c r="B19" s="63"/>
      <c r="C19" s="19"/>
      <c r="D19" s="17"/>
      <c r="E19" s="64"/>
      <c r="F19" s="64"/>
      <c r="G19" s="19"/>
    </row>
    <row r="20" spans="1:7" ht="18" customHeight="1" x14ac:dyDescent="0.4">
      <c r="A20" s="59" t="str">
        <f>IF(E20&lt;&gt;"",COUNTA($E$6:E20),IF(F20&lt;&gt;"",COUNTA($F$6:F20),""))</f>
        <v/>
      </c>
      <c r="B20" s="60"/>
      <c r="C20" s="61"/>
      <c r="D20" s="59"/>
      <c r="E20" s="62"/>
      <c r="F20" s="62"/>
      <c r="G20" s="61"/>
    </row>
    <row r="21" spans="1:7" ht="18" customHeight="1" x14ac:dyDescent="0.4">
      <c r="A21" s="17" t="str">
        <f>IF(E21&lt;&gt;"",COUNTA($E$6:E21),IF(F21&lt;&gt;"",COUNTA($F$6:F21),""))</f>
        <v/>
      </c>
      <c r="B21" s="63"/>
      <c r="C21" s="19"/>
      <c r="D21" s="17"/>
      <c r="E21" s="64"/>
      <c r="F21" s="64"/>
      <c r="G21" s="19"/>
    </row>
    <row r="22" spans="1:7" ht="18" customHeight="1" x14ac:dyDescent="0.4">
      <c r="A22" s="59" t="str">
        <f>IF(E22&lt;&gt;"",COUNTA($E$6:E22),IF(F22&lt;&gt;"",COUNTA($F$6:F22),""))</f>
        <v/>
      </c>
      <c r="B22" s="60"/>
      <c r="C22" s="61"/>
      <c r="D22" s="59"/>
      <c r="E22" s="62"/>
      <c r="F22" s="62"/>
      <c r="G22" s="61"/>
    </row>
    <row r="23" spans="1:7" ht="18" customHeight="1" x14ac:dyDescent="0.4">
      <c r="A23" s="17" t="str">
        <f>IF(E23&lt;&gt;"",COUNTA($E$6:E23),IF(F23&lt;&gt;"",COUNTA($F$6:F23),""))</f>
        <v/>
      </c>
      <c r="B23" s="63"/>
      <c r="C23" s="19"/>
      <c r="D23" s="17"/>
      <c r="E23" s="64"/>
      <c r="F23" s="64"/>
      <c r="G23" s="19"/>
    </row>
    <row r="24" spans="1:7" ht="18" customHeight="1" x14ac:dyDescent="0.4">
      <c r="A24" s="59" t="str">
        <f>IF(E24&lt;&gt;"",COUNTA($E$6:E24),IF(F24&lt;&gt;"",COUNTA($F$6:F24),""))</f>
        <v/>
      </c>
      <c r="B24" s="60"/>
      <c r="C24" s="61"/>
      <c r="D24" s="59"/>
      <c r="E24" s="62"/>
      <c r="F24" s="62"/>
      <c r="G24" s="61"/>
    </row>
    <row r="25" spans="1:7" ht="18" customHeight="1" x14ac:dyDescent="0.4">
      <c r="A25" s="17" t="str">
        <f>IF(E25&lt;&gt;"",COUNTA($E$6:E25),IF(F25&lt;&gt;"",COUNTA($F$6:F25),""))</f>
        <v/>
      </c>
      <c r="B25" s="63"/>
      <c r="C25" s="19"/>
      <c r="D25" s="17"/>
      <c r="E25" s="64"/>
      <c r="F25" s="64"/>
      <c r="G25" s="19"/>
    </row>
    <row r="26" spans="1:7" ht="18" customHeight="1" x14ac:dyDescent="0.4">
      <c r="A26" s="59" t="str">
        <f>IF(E26&lt;&gt;"",COUNTA($E$6:E26),IF(F26&lt;&gt;"",COUNTA($F$6:F26),""))</f>
        <v/>
      </c>
      <c r="B26" s="60"/>
      <c r="C26" s="61"/>
      <c r="D26" s="59"/>
      <c r="E26" s="62"/>
      <c r="F26" s="62"/>
      <c r="G26" s="61"/>
    </row>
    <row r="27" spans="1:7" ht="18" customHeight="1" x14ac:dyDescent="0.4">
      <c r="A27" s="17" t="str">
        <f>IF(E27&lt;&gt;"",COUNTA($E$6:E27),IF(F27&lt;&gt;"",COUNTA($F$6:F27),""))</f>
        <v/>
      </c>
      <c r="B27" s="63"/>
      <c r="C27" s="19"/>
      <c r="D27" s="17"/>
      <c r="E27" s="64"/>
      <c r="F27" s="64"/>
      <c r="G27" s="19"/>
    </row>
    <row r="28" spans="1:7" ht="18" customHeight="1" x14ac:dyDescent="0.4">
      <c r="A28" s="59" t="str">
        <f>IF(E28&lt;&gt;"",COUNTA($E$6:E28),IF(F28&lt;&gt;"",COUNTA($F$6:F28),""))</f>
        <v/>
      </c>
      <c r="B28" s="60"/>
      <c r="C28" s="61"/>
      <c r="D28" s="59"/>
      <c r="E28" s="62"/>
      <c r="F28" s="62"/>
      <c r="G28" s="61"/>
    </row>
    <row r="29" spans="1:7" ht="18" customHeight="1" x14ac:dyDescent="0.4">
      <c r="A29" s="17" t="str">
        <f>IF(E29&lt;&gt;"",COUNTA($E$6:E29),IF(F29&lt;&gt;"",COUNTA($F$6:F29),""))</f>
        <v/>
      </c>
      <c r="B29" s="63"/>
      <c r="C29" s="19"/>
      <c r="D29" s="17"/>
      <c r="E29" s="64"/>
      <c r="F29" s="64"/>
      <c r="G29" s="19"/>
    </row>
    <row r="30" spans="1:7" ht="18" customHeight="1" x14ac:dyDescent="0.4">
      <c r="A30" s="59" t="str">
        <f>IF(E30&lt;&gt;"",COUNTA($E$6:E30),IF(F30&lt;&gt;"",COUNTA($F$6:F30),""))</f>
        <v/>
      </c>
      <c r="B30" s="60"/>
      <c r="C30" s="61"/>
      <c r="D30" s="59"/>
      <c r="E30" s="62"/>
      <c r="F30" s="62"/>
      <c r="G30" s="61"/>
    </row>
    <row r="31" spans="1:7" ht="18" customHeight="1" x14ac:dyDescent="0.4">
      <c r="A31" s="17" t="str">
        <f>IF(E31&lt;&gt;"",COUNTA($E$6:E31),IF(F31&lt;&gt;"",COUNTA($F$6:F31),""))</f>
        <v/>
      </c>
      <c r="B31" s="63"/>
      <c r="C31" s="19"/>
      <c r="D31" s="17"/>
      <c r="E31" s="64"/>
      <c r="F31" s="64"/>
      <c r="G31" s="19"/>
    </row>
    <row r="32" spans="1:7" ht="18" customHeight="1" x14ac:dyDescent="0.4">
      <c r="A32" s="59" t="str">
        <f>IF(E32&lt;&gt;"",COUNTA($E$6:E32),IF(F32&lt;&gt;"",COUNTA($F$6:F32),""))</f>
        <v/>
      </c>
      <c r="B32" s="60"/>
      <c r="C32" s="61"/>
      <c r="D32" s="59"/>
      <c r="E32" s="62"/>
      <c r="F32" s="62"/>
      <c r="G32" s="61"/>
    </row>
    <row r="33" spans="1:7" ht="18" customHeight="1" x14ac:dyDescent="0.4">
      <c r="A33" s="17" t="str">
        <f>IF(E33&lt;&gt;"",COUNTA($E$6:E33),IF(F33&lt;&gt;"",COUNTA($F$6:F33),""))</f>
        <v/>
      </c>
      <c r="B33" s="63"/>
      <c r="C33" s="19"/>
      <c r="D33" s="17"/>
      <c r="E33" s="64"/>
      <c r="F33" s="64"/>
      <c r="G33" s="19"/>
    </row>
    <row r="34" spans="1:7" ht="18" customHeight="1" x14ac:dyDescent="0.4">
      <c r="A34" s="59" t="str">
        <f>IF(E34&lt;&gt;"",COUNTA($E$6:E34),IF(F34&lt;&gt;"",COUNTA($F$6:F34),""))</f>
        <v/>
      </c>
      <c r="B34" s="60"/>
      <c r="C34" s="61"/>
      <c r="D34" s="59"/>
      <c r="E34" s="62"/>
      <c r="F34" s="62"/>
      <c r="G34" s="61"/>
    </row>
    <row r="35" spans="1:7" ht="18" customHeight="1" x14ac:dyDescent="0.4">
      <c r="A35" s="17" t="str">
        <f>IF(E35&lt;&gt;"",COUNTA($E$6:E35),IF(F35&lt;&gt;"",COUNTA($F$6:F35),""))</f>
        <v/>
      </c>
      <c r="B35" s="63"/>
      <c r="C35" s="19"/>
      <c r="D35" s="17"/>
      <c r="E35" s="64"/>
      <c r="F35" s="64"/>
      <c r="G35" s="19"/>
    </row>
    <row r="36" spans="1:7" ht="18" customHeight="1" x14ac:dyDescent="0.4">
      <c r="A36" s="59" t="str">
        <f>IF(E36&lt;&gt;"",COUNTA($E$6:E36),IF(F36&lt;&gt;"",COUNTA($F$6:F36),""))</f>
        <v/>
      </c>
      <c r="B36" s="60"/>
      <c r="C36" s="61"/>
      <c r="D36" s="59"/>
      <c r="E36" s="62"/>
      <c r="F36" s="62"/>
      <c r="G36" s="61"/>
    </row>
    <row r="37" spans="1:7" ht="18" customHeight="1" x14ac:dyDescent="0.4">
      <c r="A37" s="17" t="str">
        <f>IF(E37&lt;&gt;"",COUNTA($E$6:E37),IF(F37&lt;&gt;"",COUNTA($F$6:F37),""))</f>
        <v/>
      </c>
      <c r="B37" s="63"/>
      <c r="C37" s="19"/>
      <c r="D37" s="17"/>
      <c r="E37" s="64"/>
      <c r="F37" s="64"/>
      <c r="G37" s="19"/>
    </row>
    <row r="38" spans="1:7" ht="18" customHeight="1" x14ac:dyDescent="0.4">
      <c r="A38" s="59" t="str">
        <f>IF(E38&lt;&gt;"",COUNTA($E$6:E38),IF(F38&lt;&gt;"",COUNTA($F$6:F38),""))</f>
        <v/>
      </c>
      <c r="B38" s="60"/>
      <c r="C38" s="61"/>
      <c r="D38" s="59"/>
      <c r="E38" s="62"/>
      <c r="F38" s="62"/>
      <c r="G38" s="61"/>
    </row>
    <row r="39" spans="1:7" ht="18" customHeight="1" x14ac:dyDescent="0.4">
      <c r="A39" s="17" t="str">
        <f>IF(E39&lt;&gt;"",COUNTA($E$6:E39),IF(F39&lt;&gt;"",COUNTA($F$6:F39),""))</f>
        <v/>
      </c>
      <c r="B39" s="63"/>
      <c r="C39" s="19"/>
      <c r="D39" s="17"/>
      <c r="E39" s="64"/>
      <c r="F39" s="64"/>
      <c r="G39" s="19"/>
    </row>
    <row r="40" spans="1:7" ht="18" customHeight="1" x14ac:dyDescent="0.4">
      <c r="A40" s="59" t="str">
        <f>IF(E40&lt;&gt;"",COUNTA($E$6:E40),IF(F40&lt;&gt;"",COUNTA($F$6:F40),""))</f>
        <v/>
      </c>
      <c r="B40" s="60"/>
      <c r="C40" s="61"/>
      <c r="D40" s="59"/>
      <c r="E40" s="62"/>
      <c r="F40" s="62"/>
      <c r="G40" s="61"/>
    </row>
    <row r="41" spans="1:7" ht="18" customHeight="1" x14ac:dyDescent="0.4">
      <c r="A41" s="17" t="str">
        <f>IF(E41&lt;&gt;"",COUNTA($E$6:E41),IF(F41&lt;&gt;"",COUNTA($F$6:F41),""))</f>
        <v/>
      </c>
      <c r="B41" s="63"/>
      <c r="C41" s="19"/>
      <c r="D41" s="17"/>
      <c r="E41" s="64"/>
      <c r="F41" s="64"/>
      <c r="G41" s="19"/>
    </row>
    <row r="42" spans="1:7" ht="18" customHeight="1" x14ac:dyDescent="0.4">
      <c r="A42" s="59" t="str">
        <f>IF(E42&lt;&gt;"",COUNTA($E$6:E42),IF(F42&lt;&gt;"",COUNTA($F$6:F42),""))</f>
        <v/>
      </c>
      <c r="B42" s="60"/>
      <c r="C42" s="61"/>
      <c r="D42" s="59"/>
      <c r="E42" s="62"/>
      <c r="F42" s="62"/>
      <c r="G42" s="61"/>
    </row>
    <row r="43" spans="1:7" ht="18" customHeight="1" x14ac:dyDescent="0.4">
      <c r="A43" s="17" t="str">
        <f>IF(E43&lt;&gt;"",COUNTA($E$6:E43),IF(F43&lt;&gt;"",COUNTA($F$6:F43),""))</f>
        <v/>
      </c>
      <c r="B43" s="63"/>
      <c r="C43" s="19"/>
      <c r="D43" s="17"/>
      <c r="E43" s="64"/>
      <c r="F43" s="64"/>
      <c r="G43" s="19"/>
    </row>
    <row r="44" spans="1:7" ht="18" customHeight="1" x14ac:dyDescent="0.4">
      <c r="A44" s="59" t="str">
        <f>IF(E44&lt;&gt;"",COUNTA($E$6:E44),IF(F44&lt;&gt;"",COUNTA($F$6:F44),""))</f>
        <v/>
      </c>
      <c r="B44" s="60"/>
      <c r="C44" s="61"/>
      <c r="D44" s="59"/>
      <c r="E44" s="62"/>
      <c r="F44" s="62"/>
      <c r="G44" s="61"/>
    </row>
    <row r="45" spans="1:7" ht="18" customHeight="1" x14ac:dyDescent="0.4">
      <c r="A45" s="17" t="str">
        <f>IF(E45&lt;&gt;"",COUNTA($E$6:E45),IF(F45&lt;&gt;"",COUNTA($F$6:F45),""))</f>
        <v/>
      </c>
      <c r="B45" s="63"/>
      <c r="C45" s="19"/>
      <c r="D45" s="17"/>
      <c r="E45" s="64"/>
      <c r="F45" s="64"/>
      <c r="G45" s="19"/>
    </row>
    <row r="46" spans="1:7" ht="18" customHeight="1" x14ac:dyDescent="0.4">
      <c r="A46" s="59" t="str">
        <f>IF(E46&lt;&gt;"",COUNTA($E$6:E46),IF(F46&lt;&gt;"",COUNTA($F$6:F46),""))</f>
        <v/>
      </c>
      <c r="B46" s="60"/>
      <c r="C46" s="61"/>
      <c r="D46" s="59"/>
      <c r="E46" s="62"/>
      <c r="F46" s="62"/>
      <c r="G46" s="61"/>
    </row>
    <row r="47" spans="1:7" ht="18" customHeight="1" x14ac:dyDescent="0.4">
      <c r="A47" s="17" t="str">
        <f>IF(E47&lt;&gt;"",COUNTA($E$6:E47),IF(F47&lt;&gt;"",COUNTA($F$6:F47),""))</f>
        <v/>
      </c>
      <c r="B47" s="63"/>
      <c r="C47" s="19"/>
      <c r="D47" s="17"/>
      <c r="E47" s="64"/>
      <c r="F47" s="64"/>
      <c r="G47" s="19"/>
    </row>
    <row r="48" spans="1:7" ht="18" customHeight="1" x14ac:dyDescent="0.4">
      <c r="A48" s="59" t="str">
        <f>IF(E48&lt;&gt;"",COUNTA($E$6:E48),IF(F48&lt;&gt;"",COUNTA($F$6:F48),""))</f>
        <v/>
      </c>
      <c r="B48" s="60"/>
      <c r="C48" s="61"/>
      <c r="D48" s="59"/>
      <c r="E48" s="62"/>
      <c r="F48" s="62"/>
      <c r="G48" s="61"/>
    </row>
    <row r="49" spans="1:7" ht="18" customHeight="1" x14ac:dyDescent="0.4">
      <c r="A49" s="17" t="str">
        <f>IF(E49&lt;&gt;"",COUNTA($E$6:E49),IF(F49&lt;&gt;"",COUNTA($F$6:F49),""))</f>
        <v/>
      </c>
      <c r="B49" s="63"/>
      <c r="C49" s="19"/>
      <c r="D49" s="17"/>
      <c r="E49" s="64"/>
      <c r="F49" s="64"/>
      <c r="G49" s="19"/>
    </row>
    <row r="50" spans="1:7" ht="18" customHeight="1" x14ac:dyDescent="0.4">
      <c r="A50" s="59" t="str">
        <f>IF(E50&lt;&gt;"",COUNTA($E$6:E50),IF(F50&lt;&gt;"",COUNTA($F$6:F50),""))</f>
        <v/>
      </c>
      <c r="B50" s="60"/>
      <c r="C50" s="61"/>
      <c r="D50" s="59"/>
      <c r="E50" s="62"/>
      <c r="F50" s="62"/>
      <c r="G50" s="61"/>
    </row>
    <row r="51" spans="1:7" ht="18" customHeight="1" x14ac:dyDescent="0.4">
      <c r="A51" s="17" t="str">
        <f>IF(E51&lt;&gt;"",COUNTA($E$6:E51),IF(F51&lt;&gt;"",COUNTA($F$6:F51),""))</f>
        <v/>
      </c>
      <c r="B51" s="63"/>
      <c r="C51" s="19"/>
      <c r="D51" s="17"/>
      <c r="E51" s="64"/>
      <c r="F51" s="64"/>
      <c r="G51" s="19"/>
    </row>
    <row r="52" spans="1:7" ht="18" customHeight="1" x14ac:dyDescent="0.4">
      <c r="A52" s="59" t="str">
        <f>IF(E52&lt;&gt;"",COUNTA($E$6:E52),IF(F52&lt;&gt;"",COUNTA($F$6:F52),""))</f>
        <v/>
      </c>
      <c r="B52" s="60"/>
      <c r="C52" s="61"/>
      <c r="D52" s="59"/>
      <c r="E52" s="62"/>
      <c r="F52" s="62"/>
      <c r="G52" s="61"/>
    </row>
    <row r="53" spans="1:7" ht="18" customHeight="1" x14ac:dyDescent="0.4">
      <c r="A53" s="17" t="str">
        <f>IF(E53&lt;&gt;"",COUNTA($E$6:E53),IF(F53&lt;&gt;"",COUNTA($F$6:F53),""))</f>
        <v/>
      </c>
      <c r="B53" s="63"/>
      <c r="C53" s="19"/>
      <c r="D53" s="17"/>
      <c r="E53" s="64"/>
      <c r="F53" s="64"/>
      <c r="G53" s="19"/>
    </row>
    <row r="54" spans="1:7" ht="18" customHeight="1" x14ac:dyDescent="0.4">
      <c r="A54" s="59" t="str">
        <f>IF(E54&lt;&gt;"",COUNTA($E$6:E54),IF(F54&lt;&gt;"",COUNTA($F$6:F54),""))</f>
        <v/>
      </c>
      <c r="B54" s="60"/>
      <c r="C54" s="61"/>
      <c r="D54" s="59"/>
      <c r="E54" s="62"/>
      <c r="F54" s="62"/>
      <c r="G54" s="61"/>
    </row>
    <row r="55" spans="1:7" ht="18" customHeight="1" x14ac:dyDescent="0.4">
      <c r="A55" s="17" t="str">
        <f>IF(E55&lt;&gt;"",COUNTA($E$6:E55),IF(F55&lt;&gt;"",COUNTA($F$6:F55),""))</f>
        <v/>
      </c>
      <c r="B55" s="63"/>
      <c r="C55" s="19"/>
      <c r="D55" s="17"/>
      <c r="E55" s="64"/>
      <c r="F55" s="64"/>
      <c r="G55" s="19"/>
    </row>
    <row r="56" spans="1:7" ht="19.5" customHeight="1" x14ac:dyDescent="0.4">
      <c r="A56" s="16" t="s">
        <v>45</v>
      </c>
      <c r="B56" s="65"/>
      <c r="C56" s="65"/>
      <c r="D56" s="65"/>
      <c r="E56" s="66">
        <f>SUM(E6:E55)</f>
        <v>0</v>
      </c>
      <c r="F56" s="67">
        <f>SUM(F6:F55)</f>
        <v>0</v>
      </c>
      <c r="G56" s="6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ALL VENDOR SUMMARY</vt:lpstr>
      <vt:lpstr>Daily Log</vt:lpstr>
      <vt:lpstr>March Summary</vt:lpstr>
      <vt:lpstr>April Summary</vt:lpstr>
      <vt:lpstr>Aakash Ice Cream</vt:lpstr>
      <vt:lpstr>Annapurneshwari Sweets</vt:lpstr>
      <vt:lpstr>Baleyale (Kumara)</vt:lpstr>
      <vt:lpstr>BSV Sweets</vt:lpstr>
      <vt:lpstr>Girish Gas</vt:lpstr>
      <vt:lpstr>Govardhan Milk &amp; Curd</vt:lpstr>
      <vt:lpstr>Hebbar Sweets</vt:lpstr>
      <vt:lpstr>Kisan – Vegetables</vt:lpstr>
      <vt:lpstr>Netra Chapati</vt:lpstr>
      <vt:lpstr>Petrol and CNG</vt:lpstr>
      <vt:lpstr>Plastic Items</vt:lpstr>
      <vt:lpstr>Raghavendra Sweets</vt:lpstr>
      <vt:lpstr>Ramesh Areca Plate</vt:lpstr>
      <vt:lpstr>Ramesh Beeda</vt:lpstr>
      <vt:lpstr>Saffola Oil</vt:lpstr>
      <vt:lpstr>Sunpure Oil</vt:lpstr>
      <vt:lpstr>Transport</vt:lpstr>
      <vt:lpstr>Vinayaka Provision Store</vt:lpstr>
      <vt:lpstr>Water Anytime</vt:lpstr>
      <vt:lpstr>Gayathri Grocery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Pavankumar Nbpatil</cp:lastModifiedBy>
  <cp:revision>0</cp:revision>
  <cp:lastPrinted>2026-05-19T07:39:17Z</cp:lastPrinted>
  <dcterms:created xsi:type="dcterms:W3CDTF">2026-04-02T11:26:21Z</dcterms:created>
  <dcterms:modified xsi:type="dcterms:W3CDTF">2026-05-20T06:39:32Z</dcterms:modified>
  <dc:language>en-US</dc:language>
</cp:coreProperties>
</file>